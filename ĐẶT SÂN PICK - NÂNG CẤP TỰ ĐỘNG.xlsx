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ÁC CÔNG TY CỦA TÙNG\"/>
    </mc:Choice>
  </mc:AlternateContent>
  <bookViews>
    <workbookView xWindow="0" yWindow="0" windowWidth="20490" windowHeight="7575"/>
  </bookViews>
  <sheets>
    <sheet name="T12" sheetId="6" r:id="rId1"/>
    <sheet name="T11" sheetId="5" r:id="rId2"/>
    <sheet name="t10" sheetId="1" r:id="rId3"/>
    <sheet name="BAO_CAO_DOANH_THU" sheetId="2" r:id="rId4"/>
    <sheet name="Sheet3" sheetId="3" r:id="rId5"/>
    <sheet name="Sheet4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<sst xmlns="http://schemas.openxmlformats.org/spreadsheetml/2006/main" count="331" uniqueCount="36">
  <si>
    <t>5h - 6h</t>
  </si>
  <si>
    <t>6h - 7h</t>
  </si>
  <si>
    <t>7h - 8h</t>
  </si>
  <si>
    <t>8h - 9h</t>
  </si>
  <si>
    <t>9h - 10h</t>
  </si>
  <si>
    <t>10h - 14h</t>
  </si>
  <si>
    <t>14h - 15h</t>
  </si>
  <si>
    <t>15h - 16h</t>
  </si>
  <si>
    <t>16h - 17h</t>
  </si>
  <si>
    <t>17h - 18h</t>
  </si>
  <si>
    <t>18h-19h</t>
  </si>
  <si>
    <t>19h - 20h</t>
  </si>
  <si>
    <t>20h - 21h</t>
  </si>
  <si>
    <t>CN</t>
  </si>
  <si>
    <t>T5</t>
  </si>
  <si>
    <t>T6</t>
  </si>
  <si>
    <t>T7</t>
  </si>
  <si>
    <t>T2</t>
  </si>
  <si>
    <t>T3</t>
  </si>
  <si>
    <t>T4</t>
  </si>
  <si>
    <t>T.Tiền</t>
  </si>
  <si>
    <t>Ngày, thứ</t>
  </si>
  <si>
    <t xml:space="preserve"> Giờ</t>
  </si>
  <si>
    <t>70k</t>
  </si>
  <si>
    <t>Ghi chú:</t>
  </si>
  <si>
    <t>Thầy dạy từ 5h - 17h thu 50k (thầy dạy thường xuyên); 70k Cho Thầy dạy không thường xuyên</t>
  </si>
  <si>
    <t>Thầy dạy từ 17h - 21h thu 90k (thầy dạy thường xuyên); 100k Cho Thầy dạy không thường xuyên</t>
  </si>
  <si>
    <r>
      <t>LỊCH ĐÁNH PICKLEBALL SÂN  2</t>
    </r>
    <r>
      <rPr>
        <i/>
        <sz val="15"/>
        <color theme="1"/>
        <rFont val="Times New Roman"/>
        <family val="1"/>
      </rPr>
      <t xml:space="preserve"> (tháng 11-2026)</t>
    </r>
  </si>
  <si>
    <r>
      <t xml:space="preserve">LỊCH ĐÁNH PICKLEBALL SÂN 1 </t>
    </r>
    <r>
      <rPr>
        <i/>
        <sz val="15"/>
        <color theme="1"/>
        <rFont val="Times New Roman"/>
        <family val="1"/>
      </rPr>
      <t>(tháng 11-2026)</t>
    </r>
  </si>
  <si>
    <t>100k</t>
  </si>
  <si>
    <t>80k</t>
  </si>
  <si>
    <t>90k</t>
  </si>
  <si>
    <r>
      <t xml:space="preserve">LỊCH ĐÁNH PICKLEBALL SÂN 1  </t>
    </r>
    <r>
      <rPr>
        <b/>
        <i/>
        <sz val="15"/>
        <color theme="1"/>
        <rFont val="Times New Roman"/>
        <family val="1"/>
      </rPr>
      <t xml:space="preserve"> (THÁNG 10-2026)</t>
    </r>
  </si>
  <si>
    <r>
      <t xml:space="preserve">LỊCH ĐÁNH PICKLEBALL SÂN  2  </t>
    </r>
    <r>
      <rPr>
        <b/>
        <i/>
        <sz val="15"/>
        <color theme="1"/>
        <rFont val="Times New Roman"/>
        <family val="1"/>
      </rPr>
      <t xml:space="preserve"> (THÁNG 10-2026)</t>
    </r>
  </si>
  <si>
    <r>
      <t xml:space="preserve">LỊCH ĐÁNH PICKLEBALL SÂN 1 </t>
    </r>
    <r>
      <rPr>
        <i/>
        <sz val="15"/>
        <color theme="1"/>
        <rFont val="Times New Roman"/>
        <family val="1"/>
      </rPr>
      <t>(tháng 12-2026)</t>
    </r>
  </si>
  <si>
    <r>
      <t>LỊCH ĐÁNH PICKLEBALL SÂN  2</t>
    </r>
    <r>
      <rPr>
        <i/>
        <sz val="15"/>
        <color theme="1"/>
        <rFont val="Times New Roman"/>
        <family val="1"/>
      </rPr>
      <t xml:space="preserve"> (tháng 12-2026)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</si>
</sst>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4"/>
      <color theme="1"/>
      <name val="Times New Roman"/>
      <family val="2"/>
    </font>
    <font>
      <sz val="14"/>
      <color theme="1"/>
      <name val="Times New Roman"/>
      <family val="2"/>
    </font>
    <font>
      <sz val="10"/>
      <color theme="1"/>
      <name val="Times New Roman"/>
      <family val="2"/>
    </font>
    <font>
      <b/>
      <sz val="10"/>
      <color theme="1"/>
      <name val="Times New Roman"/>
      <family val="1"/>
    </font>
    <font>
      <sz val="8"/>
      <color theme="1"/>
      <name val="Times New Roman"/>
      <family val="2"/>
    </font>
    <font>
      <b/>
      <sz val="15"/>
      <color theme="1"/>
      <name val="Times New Roman"/>
      <family val="1"/>
    </font>
    <font>
      <i/>
      <sz val="10"/>
      <color theme="1"/>
      <name val="Times New Roman"/>
      <family val="1"/>
    </font>
    <font>
      <b/>
      <sz val="8"/>
      <color theme="1"/>
      <name val="Times New Roman"/>
      <family val="1"/>
    </font>
    <font>
      <sz val="11"/>
      <color theme="1"/>
      <name val="Times New Roman"/>
      <family val="2"/>
    </font>
    <font>
      <b/>
      <i/>
      <sz val="12"/>
      <color theme="1"/>
      <name val="Times New Roman"/>
      <family val="2"/>
    </font>
    <font>
      <b/>
      <i/>
      <u/>
      <sz val="11"/>
      <color theme="1"/>
      <name val="Times New Roman"/>
      <family val="1"/>
    </font>
    <font>
      <i/>
      <sz val="15"/>
      <color theme="1"/>
      <name val="Times New Roman"/>
      <family val="1"/>
    </font>
    <font>
      <b/>
      <i/>
      <sz val="11"/>
      <color theme="1"/>
      <name val="Times New Roman"/>
      <family val="2"/>
    </font>
    <font>
      <b/>
      <i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2" fontId="2" fillId="0" borderId="0" xfId="0" applyNumberFormat="1" applyFont="1"/>
    <xf numFmtId="164" fontId="2" fillId="0" borderId="4" xfId="1" applyNumberFormat="1" applyFont="1" applyBorder="1"/>
    <xf numFmtId="0" fontId="2" fillId="0" borderId="4" xfId="0" applyFont="1" applyBorder="1"/>
    <xf numFmtId="164" fontId="2" fillId="0" borderId="5" xfId="1" applyNumberFormat="1" applyFont="1" applyBorder="1"/>
    <xf numFmtId="0" fontId="2" fillId="0" borderId="5" xfId="0" applyFont="1" applyBorder="1"/>
    <xf numFmtId="164" fontId="2" fillId="0" borderId="6" xfId="1" applyNumberFormat="1" applyFont="1" applyBorder="1"/>
    <xf numFmtId="0" fontId="2" fillId="0" borderId="6" xfId="0" applyFont="1" applyBorder="1"/>
    <xf numFmtId="0" fontId="4" fillId="0" borderId="0" xfId="0" applyFont="1"/>
    <xf numFmtId="164" fontId="3" fillId="0" borderId="1" xfId="1" applyNumberFormat="1" applyFont="1" applyBorder="1"/>
    <xf numFmtId="164" fontId="6" fillId="0" borderId="1" xfId="1" applyNumberFormat="1" applyFont="1" applyBorder="1"/>
    <xf numFmtId="0" fontId="3" fillId="0" borderId="0" xfId="0" applyFont="1"/>
    <xf numFmtId="0" fontId="6" fillId="0" borderId="0" xfId="0" applyFont="1"/>
    <xf numFmtId="2" fontId="8" fillId="0" borderId="4" xfId="0" applyNumberFormat="1" applyFon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/>
    <xf numFmtId="2" fontId="3" fillId="0" borderId="1" xfId="0" applyNumberFormat="1" applyFont="1" applyBorder="1" applyAlignment="1">
      <alignment horizontal="right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2" fontId="8" fillId="0" borderId="0" xfId="0" applyNumberFormat="1" applyFont="1"/>
    <xf numFmtId="0" fontId="8" fillId="0" borderId="0" xfId="0" applyFont="1"/>
    <xf numFmtId="164" fontId="6" fillId="0" borderId="1" xfId="1" applyNumberFormat="1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2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</xdr:row>
      <xdr:rowOff>66675</xdr:rowOff>
    </xdr:from>
    <xdr:to>
      <xdr:col>2</xdr:col>
      <xdr:colOff>628650</xdr:colOff>
      <xdr:row>3</xdr:row>
      <xdr:rowOff>152400</xdr:rowOff>
    </xdr:to>
    <xdr:cxnSp macro="">
      <xdr:nvCxnSpPr>
        <xdr:cNvPr id="2" name="Straight Connector 1"/>
        <xdr:cNvCxnSpPr/>
      </xdr:nvCxnSpPr>
      <xdr:spPr>
        <a:xfrm>
          <a:off x="533400" y="447675"/>
          <a:ext cx="619125" cy="257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19</xdr:row>
      <xdr:rowOff>66675</xdr:rowOff>
    </xdr:from>
    <xdr:to>
      <xdr:col>2</xdr:col>
      <xdr:colOff>628650</xdr:colOff>
      <xdr:row>20</xdr:row>
      <xdr:rowOff>152400</xdr:rowOff>
    </xdr:to>
    <xdr:cxnSp macro="">
      <xdr:nvCxnSpPr>
        <xdr:cNvPr id="3" name="Straight Connector 2"/>
        <xdr:cNvCxnSpPr/>
      </xdr:nvCxnSpPr>
      <xdr:spPr>
        <a:xfrm>
          <a:off x="533400" y="4171950"/>
          <a:ext cx="619125" cy="257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</xdr:row>
      <xdr:rowOff>66675</xdr:rowOff>
    </xdr:from>
    <xdr:to>
      <xdr:col>2</xdr:col>
      <xdr:colOff>628650</xdr:colOff>
      <xdr:row>3</xdr:row>
      <xdr:rowOff>152400</xdr:rowOff>
    </xdr:to>
    <xdr:cxnSp macro="">
      <xdr:nvCxnSpPr>
        <xdr:cNvPr id="2" name="Straight Connector 1"/>
        <xdr:cNvCxnSpPr/>
      </xdr:nvCxnSpPr>
      <xdr:spPr>
        <a:xfrm>
          <a:off x="533400" y="447675"/>
          <a:ext cx="619125" cy="257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19</xdr:row>
      <xdr:rowOff>66675</xdr:rowOff>
    </xdr:from>
    <xdr:to>
      <xdr:col>2</xdr:col>
      <xdr:colOff>628650</xdr:colOff>
      <xdr:row>20</xdr:row>
      <xdr:rowOff>152400</xdr:rowOff>
    </xdr:to>
    <xdr:cxnSp macro="">
      <xdr:nvCxnSpPr>
        <xdr:cNvPr id="3" name="Straight Connector 2"/>
        <xdr:cNvCxnSpPr/>
      </xdr:nvCxnSpPr>
      <xdr:spPr>
        <a:xfrm>
          <a:off x="533400" y="4171950"/>
          <a:ext cx="619125" cy="257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</xdr:row>
      <xdr:rowOff>66675</xdr:rowOff>
    </xdr:from>
    <xdr:to>
      <xdr:col>2</xdr:col>
      <xdr:colOff>628650</xdr:colOff>
      <xdr:row>3</xdr:row>
      <xdr:rowOff>152400</xdr:rowOff>
    </xdr:to>
    <xdr:cxnSp macro="">
      <xdr:nvCxnSpPr>
        <xdr:cNvPr id="3" name="Straight Connector 2"/>
        <xdr:cNvCxnSpPr/>
      </xdr:nvCxnSpPr>
      <xdr:spPr>
        <a:xfrm>
          <a:off x="561975" y="447675"/>
          <a:ext cx="619125" cy="257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19</xdr:row>
      <xdr:rowOff>66675</xdr:rowOff>
    </xdr:from>
    <xdr:to>
      <xdr:col>2</xdr:col>
      <xdr:colOff>628650</xdr:colOff>
      <xdr:row>20</xdr:row>
      <xdr:rowOff>152400</xdr:rowOff>
    </xdr:to>
    <xdr:cxnSp macro="">
      <xdr:nvCxnSpPr>
        <xdr:cNvPr id="9" name="Straight Connector 8"/>
        <xdr:cNvCxnSpPr/>
      </xdr:nvCxnSpPr>
      <xdr:spPr>
        <a:xfrm>
          <a:off x="533400" y="447675"/>
          <a:ext cx="619125" cy="257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37"/>
  <sheetViews>
    <sheetView tabSelected="1" workbookViewId="0">
      <selection activeCell="W23" sqref="W23"/>
    </sheetView>
  </sheetViews>
  <sheetFormatPr defaultRowHeight="12.75" x14ac:dyDescent="0.2"/>
  <cols>
    <col min="1" max="1" width="1.109375" style="1" customWidth="1"/>
    <col min="2" max="2" width="5" style="9" customWidth="1"/>
    <col min="3" max="3" width="8" style="2" customWidth="1"/>
    <col min="4" max="4" width="2.77734375" style="2" customWidth="1"/>
    <col min="5" max="5" width="3" style="2" customWidth="1"/>
    <col min="6" max="12" width="3" style="2" bestFit="1" customWidth="1"/>
    <col min="13" max="34" width="3" style="1" bestFit="1" customWidth="1"/>
    <col min="35" max="16384" width="8.88671875" style="1"/>
  </cols>
  <sheetData>
    <row r="1" spans="2:34" ht="8.25" customHeight="1" x14ac:dyDescent="0.2"/>
    <row r="2" spans="2:34" ht="21.75" customHeight="1" x14ac:dyDescent="0.2">
      <c r="C2" s="28" t="s">
        <v>34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</row>
    <row r="3" spans="2:34" s="12" customFormat="1" ht="13.5" customHeight="1" x14ac:dyDescent="0.2">
      <c r="B3" s="29" t="s">
        <v>20</v>
      </c>
      <c r="C3" s="18" t="s">
        <v>21</v>
      </c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0">
        <v>19</v>
      </c>
      <c r="W3" s="10">
        <v>20</v>
      </c>
      <c r="X3" s="10">
        <v>21</v>
      </c>
      <c r="Y3" s="10">
        <v>22</v>
      </c>
      <c r="Z3" s="10">
        <v>23</v>
      </c>
      <c r="AA3" s="10">
        <v>24</v>
      </c>
      <c r="AB3" s="10">
        <v>25</v>
      </c>
      <c r="AC3" s="10">
        <v>26</v>
      </c>
      <c r="AD3" s="10">
        <v>27</v>
      </c>
      <c r="AE3" s="10">
        <v>28</v>
      </c>
      <c r="AF3" s="10">
        <v>29</v>
      </c>
      <c r="AG3" s="10">
        <v>30</v>
      </c>
      <c r="AH3" s="10">
        <v>31</v>
      </c>
      <c r="AI3" t="inlineStr">
        <is>
          <t>Số ca</t>
        </is>
      </c>
      <c r="AJ3" t="inlineStr">
        <is>
          <t>Doanh thu</t>
        </is>
      </c>
    </row>
    <row r="4" spans="2:34" s="13" customFormat="1" ht="14.25" customHeight="1" x14ac:dyDescent="0.2">
      <c r="B4" s="30"/>
      <c r="C4" s="17" t="s">
        <v>22</v>
      </c>
      <c r="D4" s="24" t="s">
        <v>18</v>
      </c>
      <c r="E4" s="24" t="s">
        <v>19</v>
      </c>
      <c r="F4" s="24" t="s">
        <v>14</v>
      </c>
      <c r="G4" s="24" t="s">
        <v>15</v>
      </c>
      <c r="H4" s="24" t="s">
        <v>16</v>
      </c>
      <c r="I4" s="24" t="s">
        <v>13</v>
      </c>
      <c r="J4" s="24" t="s">
        <v>17</v>
      </c>
      <c r="K4" s="24" t="s">
        <v>18</v>
      </c>
      <c r="L4" s="24" t="s">
        <v>19</v>
      </c>
      <c r="M4" s="24" t="s">
        <v>14</v>
      </c>
      <c r="N4" s="24" t="s">
        <v>15</v>
      </c>
      <c r="O4" s="24" t="s">
        <v>16</v>
      </c>
      <c r="P4" s="24" t="s">
        <v>13</v>
      </c>
      <c r="Q4" s="24" t="s">
        <v>17</v>
      </c>
      <c r="R4" s="24" t="s">
        <v>18</v>
      </c>
      <c r="S4" s="24" t="s">
        <v>19</v>
      </c>
      <c r="T4" s="24" t="s">
        <v>14</v>
      </c>
      <c r="U4" s="24" t="s">
        <v>15</v>
      </c>
      <c r="V4" s="24" t="s">
        <v>16</v>
      </c>
      <c r="W4" s="24" t="s">
        <v>13</v>
      </c>
      <c r="X4" s="24" t="s">
        <v>17</v>
      </c>
      <c r="Y4" s="24" t="s">
        <v>18</v>
      </c>
      <c r="Z4" s="24" t="s">
        <v>19</v>
      </c>
      <c r="AA4" s="24" t="s">
        <v>14</v>
      </c>
      <c r="AB4" s="24" t="s">
        <v>15</v>
      </c>
      <c r="AC4" s="24" t="s">
        <v>16</v>
      </c>
      <c r="AD4" s="24" t="s">
        <v>13</v>
      </c>
      <c r="AE4" s="24" t="s">
        <v>17</v>
      </c>
      <c r="AF4" s="24" t="s">
        <v>18</v>
      </c>
      <c r="AG4" s="11" t="s">
        <v>19</v>
      </c>
      <c r="AH4" s="11" t="s">
        <v>14</v>
      </c>
      <c r="AI4" t="inlineStr">
        <is>
          <t>Tháng</t>
        </is>
      </c>
      <c r="AJ4" t="inlineStr">
        <is>
          <t>(Nghìn đ)</t>
        </is>
      </c>
    </row>
    <row r="5" spans="2:34" ht="18" customHeight="1" x14ac:dyDescent="0.2">
      <c r="B5" t="inlineStr">
        <is>
          <t>70k</t>
        </is>
      </c>
      <c r="C5" s="14" t="s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>
        <f>COUNTA(D5:AH5)</f>
      </c>
      <c r="AJ5">
        <f>(COUNTIF(D5:AH5,"T-*")*50)+(COUNTIF(D5:AH5,"TK-*")*70)+((COUNTA(D5:AH5)-COUNTIF(D5:AH5,"T-*")-COUNTIF(D5:AH5,"TK-*"))*70)</f>
      </c>
    </row>
    <row r="6" spans="2:34" ht="18" customHeight="1" x14ac:dyDescent="0.2">
      <c r="B6" t="inlineStr">
        <is>
          <t>100k</t>
        </is>
      </c>
      <c r="C6" s="15" t="s">
        <v>1</v>
      </c>
      <c r="D6" s="5"/>
      <c r="E6" s="5"/>
      <c r="F6" s="5"/>
      <c r="G6" s="5"/>
      <c r="H6" s="5"/>
      <c r="I6" s="5"/>
      <c r="J6" s="5"/>
      <c r="K6" s="5"/>
      <c r="L6" s="5"/>
      <c r="M6" s="5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>
        <f>COUNTA(D6:AH6)</f>
      </c>
      <c r="AJ6">
        <f>(COUNTIF(D6:AH6,"T-*")*50)+(COUNTIF(D6:AH6,"TK-*")*70)+((COUNTA(D6:AH6)-COUNTIF(D6:AH6,"T-*")-COUNTIF(D6:AH6,"TK-*"))*100)</f>
      </c>
    </row>
    <row r="7" spans="2:34" ht="18" customHeight="1" x14ac:dyDescent="0.2">
      <c r="B7" t="inlineStr">
        <is>
          <t>100k</t>
        </is>
      </c>
      <c r="C7" s="15" t="s">
        <v>2</v>
      </c>
      <c r="D7" s="5"/>
      <c r="E7" s="5"/>
      <c r="F7" s="5"/>
      <c r="G7" s="5"/>
      <c r="H7" s="5"/>
      <c r="I7" s="5"/>
      <c r="J7" s="5"/>
      <c r="K7" s="5"/>
      <c r="L7" s="5"/>
      <c r="M7" s="5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>
        <f>COUNTA(D7:AH7)</f>
      </c>
      <c r="AJ7">
        <f>(COUNTIF(D7:AH7,"T-*")*50)+(COUNTIF(D7:AH7,"TK-*")*70)+((COUNTA(D7:AH7)-COUNTIF(D7:AH7,"T-*")-COUNTIF(D7:AH7,"TK-*"))*100)</f>
      </c>
    </row>
    <row r="8" spans="2:34" ht="18" customHeight="1" x14ac:dyDescent="0.2">
      <c r="B8" t="inlineStr">
        <is>
          <t>80k</t>
        </is>
      </c>
      <c r="C8" s="15" t="s">
        <v>3</v>
      </c>
      <c r="D8" s="5"/>
      <c r="E8" s="5"/>
      <c r="F8" s="5"/>
      <c r="G8" s="5"/>
      <c r="H8" s="5"/>
      <c r="I8" s="5"/>
      <c r="J8" s="5"/>
      <c r="K8" s="5"/>
      <c r="L8" s="5"/>
      <c r="M8" s="5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>
        <f>COUNTA(D8:AH8)</f>
      </c>
      <c r="AJ8">
        <f>(COUNTIF(D8:AH8,"T-*")*50)+(COUNTIF(D8:AH8,"TK-*")*70)+((COUNTA(D8:AH8)-COUNTIF(D8:AH8,"T-*")-COUNTIF(D8:AH8,"TK-*"))*80)</f>
      </c>
    </row>
    <row r="9" spans="2:34" ht="18" customHeight="1" x14ac:dyDescent="0.2">
      <c r="B9" t="inlineStr">
        <is>
          <t>70k</t>
        </is>
      </c>
      <c r="C9" s="15" t="s">
        <v>4</v>
      </c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>
        <f>COUNTA(D9:AH9)</f>
      </c>
      <c r="AJ9">
        <f>(COUNTIF(D9:AH9,"T-*")*50)+(COUNTIF(D9:AH9,"TK-*")*70)+((COUNTA(D9:AH9)-COUNTIF(D9:AH9,"T-*")-COUNTIF(D9:AH9,"TK-*"))*70)</f>
      </c>
    </row>
    <row r="10" spans="2:34" ht="18" customHeight="1" x14ac:dyDescent="0.2">
      <c r="B10" t="inlineStr">
        <is>
          <t>70k</t>
        </is>
      </c>
      <c r="C10" s="15" t="s">
        <v>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>
        <f>COUNTA(D10:AH10)</f>
      </c>
      <c r="AJ10">
        <f>(COUNTIF(D10:AH10,"T-*")*50)+(COUNTIF(D10:AH10,"TK-*")*70)+((COUNTA(D10:AH10)-COUNTIF(D10:AH10,"T-*")-COUNTIF(D10:AH10,"TK-*"))*70)</f>
      </c>
    </row>
    <row r="11" spans="2:34" ht="18" customHeight="1" x14ac:dyDescent="0.2">
      <c r="B11" t="inlineStr">
        <is>
          <t>70k</t>
        </is>
      </c>
      <c r="C11" s="15" t="s">
        <v>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>
        <f>COUNTA(D11:AH11)</f>
      </c>
      <c r="AJ11">
        <f>(COUNTIF(D11:AH11,"T-*")*50)+(COUNTIF(D11:AH11,"TK-*")*70)+((COUNTA(D11:AH11)-COUNTIF(D11:AH11,"T-*")-COUNTIF(D11:AH11,"TK-*"))*70)</f>
      </c>
    </row>
    <row r="12" spans="2:34" ht="18" customHeight="1" x14ac:dyDescent="0.2">
      <c r="B12" t="inlineStr">
        <is>
          <t>80k</t>
        </is>
      </c>
      <c r="C12" s="15" t="s">
        <v>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>
        <f>COUNTA(D12:AH12)</f>
      </c>
      <c r="AJ12">
        <f>(COUNTIF(D12:AH12,"T-*")*50)+(COUNTIF(D12:AH12,"TK-*")*70)+((COUNTA(D12:AH12)-COUNTIF(D12:AH12,"T-*")-COUNTIF(D12:AH12,"TK-*"))*80)</f>
      </c>
    </row>
    <row r="13" spans="2:34" ht="18" customHeight="1" x14ac:dyDescent="0.2">
      <c r="B13" t="inlineStr">
        <is>
          <t>90k</t>
        </is>
      </c>
      <c r="C13" s="15" t="s">
        <v>8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>
        <f>COUNTA(D13:AH13)</f>
      </c>
      <c r="AJ13">
        <f>(COUNTIF(D13:AH13,"T-*")*50)+(COUNTIF(D13:AH13,"TK-*")*70)+((COUNTA(D13:AH13)-COUNTIF(D13:AH13,"T-*")-COUNTIF(D13:AH13,"TK-*"))*90)</f>
      </c>
    </row>
    <row r="14" spans="2:34" ht="18" customHeight="1" x14ac:dyDescent="0.2">
      <c r="B14" t="inlineStr">
        <is>
          <t>100k</t>
        </is>
      </c>
      <c r="C14" s="15" t="s">
        <v>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>
        <f>COUNTA(D14:AH14)</f>
      </c>
      <c r="AJ14">
        <f>(COUNTIF(D14:AH14,"T-*")*90)+(COUNTIF(D14:AH14,"TK-*")*100)+((COUNTA(D14:AH14)-COUNTIF(D14:AH14,"T-*")-COUNTIF(D14:AH14,"TK-*"))*100)</f>
      </c>
    </row>
    <row r="15" spans="2:34" ht="18" customHeight="1" x14ac:dyDescent="0.2">
      <c r="B15" s="33"/>
      <c r="C15" s="15" t="s">
        <v>10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>
        <f>COUNTA(D15:AH15)</f>
      </c>
      <c r="AJ15">
        <f>(COUNTIF(D15:AH15,"T-*")*90)+(COUNTIF(D15:AH15,"TK-*")*100)+((COUNTA(D15:AH15)-COUNTIF(D15:AH15,"T-*")-COUNTIF(D15:AH15,"TK-*"))*100)</f>
      </c>
    </row>
    <row r="16" spans="2:34" ht="18" customHeight="1" x14ac:dyDescent="0.2">
      <c r="B16" s="34"/>
      <c r="C16" s="15" t="s">
        <v>11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>
        <f>COUNTA(D16:AH16)</f>
      </c>
      <c r="AJ16">
        <f>(COUNTIF(D16:AH16,"T-*")*90)+(COUNTIF(D16:AH16,"TK-*")*100)+((COUNTA(D16:AH16)-COUNTIF(D16:AH16,"T-*")-COUNTIF(D16:AH16,"TK-*"))*100)</f>
      </c>
    </row>
    <row r="17" spans="2:34" ht="18" customHeight="1" x14ac:dyDescent="0.2">
      <c r="B17" t="inlineStr">
        <is>
          <t>90k</t>
        </is>
      </c>
      <c r="C17" s="16" t="s">
        <v>12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>
        <f>COUNTA(D17:AH17)</f>
      </c>
      <c r="AJ17">
        <f>(COUNTIF(D17:AH17,"T-*")*90)+(COUNTIF(D17:AH17,"TK-*")*100)+((COUNTA(D17:AH17)-COUNTIF(D17:AH17,"T-*")-COUNTIF(D17:AH17,"TK-*"))*90)</f>
      </c>
    </row>
    <row r="18" spans="2:34" ht="10.5" customHeight="1" x14ac:dyDescent="0.2">
      <c r="B18" t="inlineStr">
        <is>
          <t>TỔNG SÂN 1</t>
        </is>
      </c>
      <c r="C18" t="inlineStr">
        <is>
          <t>Số ca/ngày</t>
        </is>
      </c>
      <c r="D18">
        <f>COUNTA(D5:D17)</f>
      </c>
      <c r="E18">
        <f>COUNTA(E5:E17)</f>
      </c>
      <c r="F18">
        <f>COUNTA(F5:F17)</f>
      </c>
      <c r="G18">
        <f>COUNTA(G5:G17)</f>
      </c>
      <c r="H18">
        <f>COUNTA(H5:H17)</f>
      </c>
      <c r="I18">
        <f>COUNTA(I5:I17)</f>
      </c>
      <c r="J18">
        <f>COUNTA(J5:J17)</f>
      </c>
      <c r="K18">
        <f>COUNTA(K5:K17)</f>
      </c>
      <c r="L18">
        <f>COUNTA(L5:L17)</f>
      </c>
      <c r="M18">
        <f>COUNTA(M5:M17)</f>
      </c>
      <c r="N18">
        <f>COUNTA(N5:N17)</f>
      </c>
      <c r="O18">
        <f>COUNTA(O5:O17)</f>
      </c>
      <c r="P18">
        <f>COUNTA(P5:P17)</f>
      </c>
      <c r="Q18">
        <f>COUNTA(Q5:Q17)</f>
      </c>
      <c r="R18">
        <f>COUNTA(R5:R17)</f>
      </c>
      <c r="S18">
        <f>COUNTA(S5:S17)</f>
      </c>
      <c r="T18">
        <f>COUNTA(T5:T17)</f>
      </c>
      <c r="U18">
        <f>COUNTA(U5:U17)</f>
      </c>
      <c r="V18">
        <f>COUNTA(V5:V17)</f>
      </c>
      <c r="W18">
        <f>COUNTA(W5:W17)</f>
      </c>
      <c r="X18">
        <f>COUNTA(X5:X17)</f>
      </c>
      <c r="Y18">
        <f>COUNTA(Y5:Y17)</f>
      </c>
      <c r="Z18">
        <f>COUNTA(Z5:Z17)</f>
      </c>
      <c r="AA18">
        <f>COUNTA(AA5:AA17)</f>
      </c>
      <c r="AB18">
        <f>COUNTA(AB5:AB17)</f>
      </c>
      <c r="AC18">
        <f>COUNTA(AC5:AC17)</f>
      </c>
      <c r="AD18">
        <f>COUNTA(AD5:AD17)</f>
      </c>
      <c r="AE18">
        <f>COUNTA(AE5:AE17)</f>
      </c>
      <c r="AF18">
        <f>COUNTA(AF5:AF17)</f>
      </c>
      <c r="AG18">
        <f>COUNTA(AG5:AG17)</f>
      </c>
      <c r="AH18">
        <f>COUNTA(AH5:AH17)</f>
      </c>
      <c r="AI18">
        <f>SUM(AI5:AI17)</f>
      </c>
      <c r="AJ18">
        <f>SUM(AJ5:AJ17)</f>
      </c>
    </row>
    <row r="19" spans="2:34" ht="21" customHeight="1" x14ac:dyDescent="0.2">
      <c r="C19" s="28" t="s">
        <v>35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</row>
    <row r="20" spans="2:34" s="12" customFormat="1" ht="13.5" customHeight="1" x14ac:dyDescent="0.2">
      <c r="B20" s="29" t="s">
        <v>20</v>
      </c>
      <c r="C20" s="18" t="s">
        <v>21</v>
      </c>
      <c r="D20" s="10">
        <v>1</v>
      </c>
      <c r="E20" s="10">
        <v>2</v>
      </c>
      <c r="F20" s="10">
        <v>3</v>
      </c>
      <c r="G20" s="10">
        <v>4</v>
      </c>
      <c r="H20" s="10">
        <v>5</v>
      </c>
      <c r="I20" s="10">
        <v>6</v>
      </c>
      <c r="J20" s="10">
        <v>7</v>
      </c>
      <c r="K20" s="10">
        <v>8</v>
      </c>
      <c r="L20" s="10">
        <v>9</v>
      </c>
      <c r="M20" s="10">
        <v>10</v>
      </c>
      <c r="N20" s="10">
        <v>11</v>
      </c>
      <c r="O20" s="10">
        <v>12</v>
      </c>
      <c r="P20" s="10">
        <v>13</v>
      </c>
      <c r="Q20" s="10">
        <v>14</v>
      </c>
      <c r="R20" s="10">
        <v>15</v>
      </c>
      <c r="S20" s="10">
        <v>16</v>
      </c>
      <c r="T20" s="10">
        <v>17</v>
      </c>
      <c r="U20" s="10">
        <v>18</v>
      </c>
      <c r="V20" s="10">
        <v>19</v>
      </c>
      <c r="W20" s="10">
        <v>20</v>
      </c>
      <c r="X20" s="10">
        <v>21</v>
      </c>
      <c r="Y20" s="10">
        <v>22</v>
      </c>
      <c r="Z20" s="10">
        <v>23</v>
      </c>
      <c r="AA20" s="10">
        <v>24</v>
      </c>
      <c r="AB20" s="10">
        <v>25</v>
      </c>
      <c r="AC20" s="10">
        <v>26</v>
      </c>
      <c r="AD20" s="10">
        <v>27</v>
      </c>
      <c r="AE20" s="10">
        <v>28</v>
      </c>
      <c r="AF20" s="10">
        <v>29</v>
      </c>
      <c r="AG20" s="10">
        <v>30</v>
      </c>
      <c r="AH20" s="10">
        <v>31</v>
      </c>
      <c r="AI20" t="inlineStr">
        <is>
          <t>Số ca</t>
        </is>
      </c>
      <c r="AJ20" t="inlineStr">
        <is>
          <t>Doanh thu</t>
        </is>
      </c>
    </row>
    <row r="21" spans="2:34" s="13" customFormat="1" ht="14.25" customHeight="1" x14ac:dyDescent="0.2">
      <c r="B21" s="30"/>
      <c r="C21" s="17" t="s">
        <v>22</v>
      </c>
      <c r="D21" s="24" t="s">
        <v>18</v>
      </c>
      <c r="E21" s="24" t="s">
        <v>19</v>
      </c>
      <c r="F21" s="24" t="s">
        <v>14</v>
      </c>
      <c r="G21" s="24" t="s">
        <v>15</v>
      </c>
      <c r="H21" s="24" t="s">
        <v>16</v>
      </c>
      <c r="I21" s="24" t="s">
        <v>13</v>
      </c>
      <c r="J21" s="24" t="s">
        <v>17</v>
      </c>
      <c r="K21" s="24" t="s">
        <v>18</v>
      </c>
      <c r="L21" s="24" t="s">
        <v>19</v>
      </c>
      <c r="M21" s="24" t="s">
        <v>14</v>
      </c>
      <c r="N21" s="24" t="s">
        <v>15</v>
      </c>
      <c r="O21" s="24" t="s">
        <v>16</v>
      </c>
      <c r="P21" s="24" t="s">
        <v>13</v>
      </c>
      <c r="Q21" s="24" t="s">
        <v>17</v>
      </c>
      <c r="R21" s="24" t="s">
        <v>18</v>
      </c>
      <c r="S21" s="24" t="s">
        <v>19</v>
      </c>
      <c r="T21" s="24" t="s">
        <v>14</v>
      </c>
      <c r="U21" s="24" t="s">
        <v>15</v>
      </c>
      <c r="V21" s="24" t="s">
        <v>16</v>
      </c>
      <c r="W21" s="24" t="s">
        <v>13</v>
      </c>
      <c r="X21" s="24" t="s">
        <v>17</v>
      </c>
      <c r="Y21" s="24" t="s">
        <v>18</v>
      </c>
      <c r="Z21" s="24" t="s">
        <v>19</v>
      </c>
      <c r="AA21" s="24" t="s">
        <v>14</v>
      </c>
      <c r="AB21" s="24" t="s">
        <v>15</v>
      </c>
      <c r="AC21" s="24" t="s">
        <v>16</v>
      </c>
      <c r="AD21" s="24" t="s">
        <v>13</v>
      </c>
      <c r="AE21" s="24" t="s">
        <v>17</v>
      </c>
      <c r="AF21" s="24" t="s">
        <v>18</v>
      </c>
      <c r="AG21" s="11" t="s">
        <v>19</v>
      </c>
      <c r="AH21" s="11" t="s">
        <v>14</v>
      </c>
      <c r="AI21" t="inlineStr">
        <is>
          <t>Tháng</t>
        </is>
      </c>
      <c r="AJ21" t="inlineStr">
        <is>
          <t>(Nghìn đ)</t>
        </is>
      </c>
    </row>
    <row r="22" spans="2:34" ht="18" customHeight="1" x14ac:dyDescent="0.2">
      <c r="B22" t="inlineStr">
        <is>
          <t>70k</t>
        </is>
      </c>
      <c r="C22" s="14" t="s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>
        <f>COUNTA(D22:AH22)</f>
      </c>
      <c r="AJ22">
        <f>(COUNTIF(D22:AH22,"T-*")*50)+(COUNTIF(D22:AH22,"TK-*")*70)+((COUNTA(D22:AH22)-COUNTIF(D22:AH22,"T-*")-COUNTIF(D22:AH22,"TK-*"))*70)</f>
      </c>
    </row>
    <row r="23" spans="2:34" ht="18" customHeight="1" x14ac:dyDescent="0.2">
      <c r="B23" t="inlineStr">
        <is>
          <t>100k</t>
        </is>
      </c>
      <c r="C23" s="15" t="s">
        <v>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>
        <f>COUNTA(D23:AH23)</f>
      </c>
      <c r="AJ23">
        <f>(COUNTIF(D23:AH23,"T-*")*50)+(COUNTIF(D23:AH23,"TK-*")*70)+((COUNTA(D23:AH23)-COUNTIF(D23:AH23,"T-*")-COUNTIF(D23:AH23,"TK-*"))*100)</f>
      </c>
    </row>
    <row r="24" spans="2:34" ht="18" customHeight="1" x14ac:dyDescent="0.2">
      <c r="B24" t="inlineStr">
        <is>
          <t>100k</t>
        </is>
      </c>
      <c r="C24" s="15" t="s">
        <v>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>
        <f>COUNTA(D24:AH24)</f>
      </c>
      <c r="AJ24">
        <f>(COUNTIF(D24:AH24,"T-*")*50)+(COUNTIF(D24:AH24,"TK-*")*70)+((COUNTA(D24:AH24)-COUNTIF(D24:AH24,"T-*")-COUNTIF(D24:AH24,"TK-*"))*100)</f>
      </c>
    </row>
    <row r="25" spans="2:34" ht="18" customHeight="1" x14ac:dyDescent="0.2">
      <c r="B25" t="inlineStr">
        <is>
          <t>80k</t>
        </is>
      </c>
      <c r="C25" s="15" t="s">
        <v>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>
        <f>COUNTA(D25:AH25)</f>
      </c>
      <c r="AJ25">
        <f>(COUNTIF(D25:AH25,"T-*")*50)+(COUNTIF(D25:AH25,"TK-*")*70)+((COUNTA(D25:AH25)-COUNTIF(D25:AH25,"T-*")-COUNTIF(D25:AH25,"TK-*"))*80)</f>
      </c>
    </row>
    <row r="26" spans="2:34" ht="18" customHeight="1" x14ac:dyDescent="0.2">
      <c r="B26" t="inlineStr">
        <is>
          <t>70k</t>
        </is>
      </c>
      <c r="C26" s="15" t="s">
        <v>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>
        <f>COUNTA(D26:AH26)</f>
      </c>
      <c r="AJ26">
        <f>(COUNTIF(D26:AH26,"T-*")*50)+(COUNTIF(D26:AH26,"TK-*")*70)+((COUNTA(D26:AH26)-COUNTIF(D26:AH26,"T-*")-COUNTIF(D26:AH26,"TK-*"))*70)</f>
      </c>
    </row>
    <row r="27" spans="2:34" ht="18" customHeight="1" x14ac:dyDescent="0.2">
      <c r="B27" t="inlineStr">
        <is>
          <t>70k</t>
        </is>
      </c>
      <c r="C27" s="15" t="s">
        <v>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>
        <f>COUNTA(D27:AH27)</f>
      </c>
      <c r="AJ27">
        <f>(COUNTIF(D27:AH27,"T-*")*50)+(COUNTIF(D27:AH27,"TK-*")*70)+((COUNTA(D27:AH27)-COUNTIF(D27:AH27,"T-*")-COUNTIF(D27:AH27,"TK-*"))*70)</f>
      </c>
    </row>
    <row r="28" spans="2:34" ht="18" customHeight="1" x14ac:dyDescent="0.2">
      <c r="B28" t="inlineStr">
        <is>
          <t>70k</t>
        </is>
      </c>
      <c r="C28" s="15" t="s">
        <v>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>
        <f>COUNTA(D28:AH28)</f>
      </c>
      <c r="AJ28">
        <f>(COUNTIF(D28:AH28,"T-*")*50)+(COUNTIF(D28:AH28,"TK-*")*70)+((COUNTA(D28:AH28)-COUNTIF(D28:AH28,"T-*")-COUNTIF(D28:AH28,"TK-*"))*70)</f>
      </c>
    </row>
    <row r="29" spans="2:34" ht="18" customHeight="1" x14ac:dyDescent="0.2">
      <c r="B29" t="inlineStr">
        <is>
          <t>80k</t>
        </is>
      </c>
      <c r="C29" s="15" t="s">
        <v>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>
        <f>COUNTA(D29:AH29)</f>
      </c>
      <c r="AJ29">
        <f>(COUNTIF(D29:AH29,"T-*")*50)+(COUNTIF(D29:AH29,"TK-*")*70)+((COUNTA(D29:AH29)-COUNTIF(D29:AH29,"T-*")-COUNTIF(D29:AH29,"TK-*"))*80)</f>
      </c>
    </row>
    <row r="30" spans="2:34" ht="18" customHeight="1" x14ac:dyDescent="0.2">
      <c r="B30" t="inlineStr">
        <is>
          <t>90k</t>
        </is>
      </c>
      <c r="C30" s="15" t="s">
        <v>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>
        <f>COUNTA(D30:AH30)</f>
      </c>
      <c r="AJ30">
        <f>(COUNTIF(D30:AH30,"T-*")*50)+(COUNTIF(D30:AH30,"TK-*")*70)+((COUNTA(D30:AH30)-COUNTIF(D30:AH30,"T-*")-COUNTIF(D30:AH30,"TK-*"))*90)</f>
      </c>
    </row>
    <row r="31" spans="2:34" ht="18" customHeight="1" x14ac:dyDescent="0.2">
      <c r="B31" t="inlineStr">
        <is>
          <t>100k</t>
        </is>
      </c>
      <c r="C31" s="15" t="s">
        <v>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>
        <f>COUNTA(D31:AH31)</f>
      </c>
      <c r="AJ31">
        <f>(COUNTIF(D31:AH31,"T-*")*90)+(COUNTIF(D31:AH31,"TK-*")*100)+((COUNTA(D31:AH31)-COUNTIF(D31:AH31,"T-*")-COUNTIF(D31:AH31,"TK-*"))*100)</f>
      </c>
    </row>
    <row r="32" spans="2:34" ht="18" customHeight="1" x14ac:dyDescent="0.2">
      <c r="B32" s="33"/>
      <c r="C32" s="15" t="s">
        <v>10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>
        <f>COUNTA(D32:AH32)</f>
      </c>
      <c r="AJ32">
        <f>(COUNTIF(D32:AH32,"T-*")*90)+(COUNTIF(D32:AH32,"TK-*")*100)+((COUNTA(D32:AH32)-COUNTIF(D32:AH32,"T-*")-COUNTIF(D32:AH32,"TK-*"))*100)</f>
      </c>
    </row>
    <row r="33" spans="2:34" ht="18" customHeight="1" x14ac:dyDescent="0.2">
      <c r="B33" s="34"/>
      <c r="C33" s="15" t="s">
        <v>11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>
        <f>COUNTA(D33:AH33)</f>
      </c>
      <c r="AJ33">
        <f>(COUNTIF(D33:AH33,"T-*")*90)+(COUNTIF(D33:AH33,"TK-*")*100)+((COUNTA(D33:AH33)-COUNTIF(D33:AH33,"T-*")-COUNTIF(D33:AH33,"TK-*"))*100)</f>
      </c>
    </row>
    <row r="34" spans="2:34" ht="18" customHeight="1" x14ac:dyDescent="0.2">
      <c r="B34" t="inlineStr">
        <is>
          <t>90k</t>
        </is>
      </c>
      <c r="C34" s="16" t="s">
        <v>12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>
        <f>COUNTA(D34:AH34)</f>
      </c>
      <c r="AJ34">
        <f>(COUNTIF(D34:AH34,"T-*")*90)+(COUNTIF(D34:AH34,"TK-*")*100)+((COUNTA(D34:AH34)-COUNTIF(D34:AH34,"T-*")-COUNTIF(D34:AH34,"TK-*"))*90)</f>
      </c>
    </row>
    <row r="35" spans="2:34" ht="9.75" customHeight="1" x14ac:dyDescent="0.2">
      <c r="B35" t="inlineStr">
        <is>
          <t>TỔNG SÂN 2</t>
        </is>
      </c>
      <c r="C35" t="inlineStr">
        <is>
          <t>Số ca/ngày</t>
        </is>
      </c>
      <c r="D35">
        <f>COUNTA(D22:D34)</f>
      </c>
      <c r="E35">
        <f>COUNTA(E22:E34)</f>
      </c>
      <c r="F35">
        <f>COUNTA(F22:F34)</f>
      </c>
      <c r="G35">
        <f>COUNTA(G22:G34)</f>
      </c>
      <c r="H35">
        <f>COUNTA(H22:H34)</f>
      </c>
      <c r="I35">
        <f>COUNTA(I22:I34)</f>
      </c>
      <c r="J35">
        <f>COUNTA(J22:J34)</f>
      </c>
      <c r="K35">
        <f>COUNTA(K22:K34)</f>
      </c>
      <c r="L35">
        <f>COUNTA(L22:L34)</f>
      </c>
      <c r="M35">
        <f>COUNTA(M22:M34)</f>
      </c>
      <c r="N35">
        <f>COUNTA(N22:N34)</f>
      </c>
      <c r="O35">
        <f>COUNTA(O22:O34)</f>
      </c>
      <c r="P35">
        <f>COUNTA(P22:P34)</f>
      </c>
      <c r="Q35">
        <f>COUNTA(Q22:Q34)</f>
      </c>
      <c r="R35">
        <f>COUNTA(R22:R34)</f>
      </c>
      <c r="S35">
        <f>COUNTA(S22:S34)</f>
      </c>
      <c r="T35">
        <f>COUNTA(T22:T34)</f>
      </c>
      <c r="U35">
        <f>COUNTA(U22:U34)</f>
      </c>
      <c r="V35">
        <f>COUNTA(V22:V34)</f>
      </c>
      <c r="W35">
        <f>COUNTA(W22:W34)</f>
      </c>
      <c r="X35">
        <f>COUNTA(X22:X34)</f>
      </c>
      <c r="Y35">
        <f>COUNTA(Y22:Y34)</f>
      </c>
      <c r="Z35">
        <f>COUNTA(Z22:Z34)</f>
      </c>
      <c r="AA35">
        <f>COUNTA(AA22:AA34)</f>
      </c>
      <c r="AB35">
        <f>COUNTA(AB22:AB34)</f>
      </c>
      <c r="AC35">
        <f>COUNTA(AC22:AC34)</f>
      </c>
      <c r="AD35">
        <f>COUNTA(AD22:AD34)</f>
      </c>
      <c r="AE35">
        <f>COUNTA(AE22:AE34)</f>
      </c>
      <c r="AF35">
        <f>COUNTA(AF22:AF34)</f>
      </c>
      <c r="AG35">
        <f>COUNTA(AG22:AG34)</f>
      </c>
      <c r="AH35">
        <f>COUNTA(AH22:AH34)</f>
      </c>
      <c r="AI35">
        <f>SUM(AI22:AI34)</f>
      </c>
      <c r="AJ35">
        <f>SUM(AJ22:AJ34)</f>
      </c>
    </row>
    <row r="36" spans="2:34" ht="14.1" customHeight="1" x14ac:dyDescent="0.25">
      <c r="B36" s="31" t="s">
        <v>24</v>
      </c>
      <c r="C36" s="31"/>
      <c r="D36" s="22" t="s">
        <v>25</v>
      </c>
      <c r="E36" s="22"/>
      <c r="F36" s="22"/>
      <c r="G36" s="22"/>
      <c r="H36" s="22"/>
      <c r="I36" s="22"/>
      <c r="J36" s="22"/>
      <c r="K36" s="22"/>
      <c r="L36" s="22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 spans="2:34" ht="14.1" customHeight="1" x14ac:dyDescent="0.25">
      <c r="B37" s="23"/>
      <c r="C37" s="22"/>
      <c r="D37" s="22" t="s">
        <v>26</v>
      </c>
      <c r="E37" s="22"/>
      <c r="F37" s="22"/>
      <c r="G37" s="22"/>
      <c r="H37" s="22"/>
      <c r="I37" s="22"/>
      <c r="J37" s="22"/>
      <c r="K37" s="22"/>
      <c r="L37" s="22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  <row r="38">
      <c r="B38" t="inlineStr">
        <is>
          <t>TỔNG 2 SÂN</t>
        </is>
      </c>
      <c r="C38" t="inlineStr">
        <is>
          <t>Cả tháng (Nghìn đ)</t>
        </is>
      </c>
      <c r="D38" t="inlineStr">
        <is>
          <t>Mẹo nhập tự động tính tiền: Ghi Tên khách (VD: A.Tuấn) = Giá thường | Ghi T-Tên (VD: T-Hùng) = Thầy dạy TX (50k/90k) | Ghi TK-Tên = Thầy KTX (70k/100k)</t>
        </is>
      </c>
      <c r="AI38">
        <f>AI18+AI35</f>
      </c>
      <c r="AJ38">
        <f>AJ18+AJ35</f>
      </c>
    </row>
  </sheetData>
  <mergeCells count="7">
    <mergeCell ref="B36:C36"/>
    <mergeCell ref="C2:AH2"/>
    <mergeCell ref="B3:B4"/>
    <mergeCell ref="B14:B16"/>
    <mergeCell ref="C19:AH19"/>
    <mergeCell ref="B20:B21"/>
    <mergeCell ref="B31:B33"/>
  </mergeCells>
  <pageMargins left="0.17" right="0.17" top="0.17" bottom="0.17" header="0.17" footer="0.17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37"/>
  <sheetViews>
    <sheetView workbookViewId="0">
      <selection activeCell="AD8" sqref="AD8"/>
    </sheetView>
  </sheetViews>
  <sheetFormatPr defaultRowHeight="12.75" x14ac:dyDescent="0.2"/>
  <cols>
    <col min="1" max="1" width="1.109375" style="1" customWidth="1"/>
    <col min="2" max="2" width="5" style="9" customWidth="1"/>
    <col min="3" max="3" width="8" style="2" customWidth="1"/>
    <col min="4" max="4" width="2.77734375" style="2" customWidth="1"/>
    <col min="5" max="5" width="3" style="2" customWidth="1"/>
    <col min="6" max="12" width="3" style="2" bestFit="1" customWidth="1"/>
    <col min="13" max="34" width="3" style="1" bestFit="1" customWidth="1"/>
    <col min="35" max="16384" width="8.88671875" style="1"/>
  </cols>
  <sheetData>
    <row r="1" spans="2:34" ht="8.25" customHeight="1" x14ac:dyDescent="0.2"/>
    <row r="2" spans="2:34" ht="21.75" customHeight="1" x14ac:dyDescent="0.2">
      <c r="C2" s="28" t="s">
        <v>28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</row>
    <row r="3" spans="2:34" s="12" customFormat="1" ht="13.5" customHeight="1" x14ac:dyDescent="0.2">
      <c r="B3" s="29" t="s">
        <v>20</v>
      </c>
      <c r="C3" s="18" t="s">
        <v>21</v>
      </c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0">
        <v>19</v>
      </c>
      <c r="W3" s="10">
        <v>20</v>
      </c>
      <c r="X3" s="10">
        <v>21</v>
      </c>
      <c r="Y3" s="10">
        <v>22</v>
      </c>
      <c r="Z3" s="10">
        <v>23</v>
      </c>
      <c r="AA3" s="10">
        <v>24</v>
      </c>
      <c r="AB3" s="10">
        <v>25</v>
      </c>
      <c r="AC3" s="10">
        <v>26</v>
      </c>
      <c r="AD3" s="10">
        <v>27</v>
      </c>
      <c r="AE3" s="10">
        <v>28</v>
      </c>
      <c r="AF3" s="10">
        <v>29</v>
      </c>
      <c r="AG3" s="10">
        <v>30</v>
      </c>
      <c r="AH3" s="10">
        <v>31</v>
      </c>
      <c r="AI3" t="inlineStr">
        <is>
          <t>Số ca</t>
        </is>
      </c>
      <c r="AJ3" t="inlineStr">
        <is>
          <t>Doanh thu</t>
        </is>
      </c>
    </row>
    <row r="4" spans="2:34" s="13" customFormat="1" ht="14.25" customHeight="1" x14ac:dyDescent="0.2">
      <c r="B4" s="30"/>
      <c r="C4" s="17" t="s">
        <v>22</v>
      </c>
      <c r="D4" s="24" t="s">
        <v>13</v>
      </c>
      <c r="E4" s="24" t="s">
        <v>17</v>
      </c>
      <c r="F4" s="24" t="s">
        <v>18</v>
      </c>
      <c r="G4" s="24" t="s">
        <v>19</v>
      </c>
      <c r="H4" s="24" t="s">
        <v>14</v>
      </c>
      <c r="I4" s="24" t="s">
        <v>15</v>
      </c>
      <c r="J4" s="24" t="s">
        <v>16</v>
      </c>
      <c r="K4" s="24" t="s">
        <v>13</v>
      </c>
      <c r="L4" s="24" t="s">
        <v>17</v>
      </c>
      <c r="M4" s="24" t="s">
        <v>18</v>
      </c>
      <c r="N4" s="24" t="s">
        <v>19</v>
      </c>
      <c r="O4" s="24" t="s">
        <v>14</v>
      </c>
      <c r="P4" s="24" t="s">
        <v>15</v>
      </c>
      <c r="Q4" s="24" t="s">
        <v>16</v>
      </c>
      <c r="R4" s="24" t="s">
        <v>13</v>
      </c>
      <c r="S4" s="24" t="s">
        <v>17</v>
      </c>
      <c r="T4" s="24" t="s">
        <v>18</v>
      </c>
      <c r="U4" s="24" t="s">
        <v>19</v>
      </c>
      <c r="V4" s="24" t="s">
        <v>14</v>
      </c>
      <c r="W4" s="24" t="s">
        <v>15</v>
      </c>
      <c r="X4" s="24" t="s">
        <v>16</v>
      </c>
      <c r="Y4" s="24" t="s">
        <v>13</v>
      </c>
      <c r="Z4" s="24" t="s">
        <v>17</v>
      </c>
      <c r="AA4" s="24" t="s">
        <v>18</v>
      </c>
      <c r="AB4" s="24" t="s">
        <v>19</v>
      </c>
      <c r="AC4" s="24" t="s">
        <v>14</v>
      </c>
      <c r="AD4" s="24" t="s">
        <v>15</v>
      </c>
      <c r="AE4" s="24" t="s">
        <v>16</v>
      </c>
      <c r="AF4" s="24" t="s">
        <v>13</v>
      </c>
      <c r="AG4" s="11" t="s">
        <v>17</v>
      </c>
      <c r="AH4" s="11" t="s">
        <v>18</v>
      </c>
      <c r="AI4" t="inlineStr">
        <is>
          <t>Tháng</t>
        </is>
      </c>
      <c r="AJ4" t="inlineStr">
        <is>
          <t>(Nghìn đ)</t>
        </is>
      </c>
    </row>
    <row r="5" spans="2:34" ht="18" customHeight="1" x14ac:dyDescent="0.2">
      <c r="B5" t="inlineStr">
        <is>
          <t>70k</t>
        </is>
      </c>
      <c r="C5" s="14" t="s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>
        <f>COUNTA(D5:AH5)</f>
      </c>
      <c r="AJ5">
        <f>(COUNTIF(D5:AH5,"T-*")*50)+(COUNTIF(D5:AH5,"TK-*")*70)+((COUNTA(D5:AH5)-COUNTIF(D5:AH5,"T-*")-COUNTIF(D5:AH5,"TK-*"))*70)</f>
      </c>
    </row>
    <row r="6" spans="2:34" ht="18" customHeight="1" x14ac:dyDescent="0.2">
      <c r="B6" t="inlineStr">
        <is>
          <t>100k</t>
        </is>
      </c>
      <c r="C6" s="15" t="s">
        <v>1</v>
      </c>
      <c r="D6" s="5"/>
      <c r="E6" s="5"/>
      <c r="F6" s="5"/>
      <c r="G6" s="5"/>
      <c r="H6" s="5"/>
      <c r="I6" s="5"/>
      <c r="J6" s="5"/>
      <c r="K6" s="5"/>
      <c r="L6" s="5"/>
      <c r="M6" s="5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>
        <f>COUNTA(D6:AH6)</f>
      </c>
      <c r="AJ6">
        <f>(COUNTIF(D6:AH6,"T-*")*50)+(COUNTIF(D6:AH6,"TK-*")*70)+((COUNTA(D6:AH6)-COUNTIF(D6:AH6,"T-*")-COUNTIF(D6:AH6,"TK-*"))*100)</f>
      </c>
    </row>
    <row r="7" spans="2:34" ht="18" customHeight="1" x14ac:dyDescent="0.2">
      <c r="B7" t="inlineStr">
        <is>
          <t>100k</t>
        </is>
      </c>
      <c r="C7" s="15" t="s">
        <v>2</v>
      </c>
      <c r="D7" s="5"/>
      <c r="E7" s="5"/>
      <c r="F7" s="5"/>
      <c r="G7" s="5"/>
      <c r="H7" s="5"/>
      <c r="I7" s="5"/>
      <c r="J7" s="5"/>
      <c r="K7" s="5"/>
      <c r="L7" s="5"/>
      <c r="M7" s="5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>
        <f>COUNTA(D7:AH7)</f>
      </c>
      <c r="AJ7">
        <f>(COUNTIF(D7:AH7,"T-*")*50)+(COUNTIF(D7:AH7,"TK-*")*70)+((COUNTA(D7:AH7)-COUNTIF(D7:AH7,"T-*")-COUNTIF(D7:AH7,"TK-*"))*100)</f>
      </c>
    </row>
    <row r="8" spans="2:34" ht="18" customHeight="1" x14ac:dyDescent="0.2">
      <c r="B8" t="inlineStr">
        <is>
          <t>80k</t>
        </is>
      </c>
      <c r="C8" s="15" t="s">
        <v>3</v>
      </c>
      <c r="D8" s="5"/>
      <c r="E8" s="5"/>
      <c r="F8" s="5"/>
      <c r="G8" s="5"/>
      <c r="H8" s="5"/>
      <c r="I8" s="5"/>
      <c r="J8" s="5"/>
      <c r="K8" s="5"/>
      <c r="L8" s="5"/>
      <c r="M8" s="5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>
        <f>COUNTA(D8:AH8)</f>
      </c>
      <c r="AJ8">
        <f>(COUNTIF(D8:AH8,"T-*")*50)+(COUNTIF(D8:AH8,"TK-*")*70)+((COUNTA(D8:AH8)-COUNTIF(D8:AH8,"T-*")-COUNTIF(D8:AH8,"TK-*"))*80)</f>
      </c>
    </row>
    <row r="9" spans="2:34" ht="18" customHeight="1" x14ac:dyDescent="0.2">
      <c r="B9" t="inlineStr">
        <is>
          <t>70k</t>
        </is>
      </c>
      <c r="C9" s="15" t="s">
        <v>4</v>
      </c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>
        <f>COUNTA(D9:AH9)</f>
      </c>
      <c r="AJ9">
        <f>(COUNTIF(D9:AH9,"T-*")*50)+(COUNTIF(D9:AH9,"TK-*")*70)+((COUNTA(D9:AH9)-COUNTIF(D9:AH9,"T-*")-COUNTIF(D9:AH9,"TK-*"))*70)</f>
      </c>
    </row>
    <row r="10" spans="2:34" ht="18" customHeight="1" x14ac:dyDescent="0.2">
      <c r="B10" t="inlineStr">
        <is>
          <t>70k</t>
        </is>
      </c>
      <c r="C10" s="15" t="s">
        <v>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>
        <f>COUNTA(D10:AH10)</f>
      </c>
      <c r="AJ10">
        <f>(COUNTIF(D10:AH10,"T-*")*50)+(COUNTIF(D10:AH10,"TK-*")*70)+((COUNTA(D10:AH10)-COUNTIF(D10:AH10,"T-*")-COUNTIF(D10:AH10,"TK-*"))*70)</f>
      </c>
    </row>
    <row r="11" spans="2:34" ht="18" customHeight="1" x14ac:dyDescent="0.2">
      <c r="B11" t="inlineStr">
        <is>
          <t>70k</t>
        </is>
      </c>
      <c r="C11" s="15" t="s">
        <v>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>
        <f>COUNTA(D11:AH11)</f>
      </c>
      <c r="AJ11">
        <f>(COUNTIF(D11:AH11,"T-*")*50)+(COUNTIF(D11:AH11,"TK-*")*70)+((COUNTA(D11:AH11)-COUNTIF(D11:AH11,"T-*")-COUNTIF(D11:AH11,"TK-*"))*70)</f>
      </c>
    </row>
    <row r="12" spans="2:34" ht="18" customHeight="1" x14ac:dyDescent="0.2">
      <c r="B12" t="inlineStr">
        <is>
          <t>80k</t>
        </is>
      </c>
      <c r="C12" s="15" t="s">
        <v>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>
        <f>COUNTA(D12:AH12)</f>
      </c>
      <c r="AJ12">
        <f>(COUNTIF(D12:AH12,"T-*")*50)+(COUNTIF(D12:AH12,"TK-*")*70)+((COUNTA(D12:AH12)-COUNTIF(D12:AH12,"T-*")-COUNTIF(D12:AH12,"TK-*"))*80)</f>
      </c>
    </row>
    <row r="13" spans="2:34" ht="18" customHeight="1" x14ac:dyDescent="0.2">
      <c r="B13" t="inlineStr">
        <is>
          <t>90k</t>
        </is>
      </c>
      <c r="C13" s="15" t="s">
        <v>8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>
        <f>COUNTA(D13:AH13)</f>
      </c>
      <c r="AJ13">
        <f>(COUNTIF(D13:AH13,"T-*")*50)+(COUNTIF(D13:AH13,"TK-*")*70)+((COUNTA(D13:AH13)-COUNTIF(D13:AH13,"T-*")-COUNTIF(D13:AH13,"TK-*"))*90)</f>
      </c>
    </row>
    <row r="14" spans="2:34" ht="18" customHeight="1" x14ac:dyDescent="0.2">
      <c r="B14" t="inlineStr">
        <is>
          <t>100k</t>
        </is>
      </c>
      <c r="C14" s="15" t="s">
        <v>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>
        <f>COUNTA(D14:AH14)</f>
      </c>
      <c r="AJ14">
        <f>(COUNTIF(D14:AH14,"T-*")*90)+(COUNTIF(D14:AH14,"TK-*")*100)+((COUNTA(D14:AH14)-COUNTIF(D14:AH14,"T-*")-COUNTIF(D14:AH14,"TK-*"))*100)</f>
      </c>
    </row>
    <row r="15" spans="2:34" ht="18" customHeight="1" x14ac:dyDescent="0.2">
      <c r="B15" s="33"/>
      <c r="C15" s="15" t="s">
        <v>10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>
        <f>COUNTA(D15:AH15)</f>
      </c>
      <c r="AJ15">
        <f>(COUNTIF(D15:AH15,"T-*")*90)+(COUNTIF(D15:AH15,"TK-*")*100)+((COUNTA(D15:AH15)-COUNTIF(D15:AH15,"T-*")-COUNTIF(D15:AH15,"TK-*"))*100)</f>
      </c>
    </row>
    <row r="16" spans="2:34" ht="18" customHeight="1" x14ac:dyDescent="0.2">
      <c r="B16" s="34"/>
      <c r="C16" s="15" t="s">
        <v>11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>
        <f>COUNTA(D16:AH16)</f>
      </c>
      <c r="AJ16">
        <f>(COUNTIF(D16:AH16,"T-*")*90)+(COUNTIF(D16:AH16,"TK-*")*100)+((COUNTA(D16:AH16)-COUNTIF(D16:AH16,"T-*")-COUNTIF(D16:AH16,"TK-*"))*100)</f>
      </c>
    </row>
    <row r="17" spans="2:34" ht="18" customHeight="1" x14ac:dyDescent="0.2">
      <c r="B17" t="inlineStr">
        <is>
          <t>90k</t>
        </is>
      </c>
      <c r="C17" s="16" t="s">
        <v>12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>
        <f>COUNTA(D17:AH17)</f>
      </c>
      <c r="AJ17">
        <f>(COUNTIF(D17:AH17,"T-*")*90)+(COUNTIF(D17:AH17,"TK-*")*100)+((COUNTA(D17:AH17)-COUNTIF(D17:AH17,"T-*")-COUNTIF(D17:AH17,"TK-*"))*90)</f>
      </c>
    </row>
    <row r="18" spans="2:34" ht="10.5" customHeight="1" x14ac:dyDescent="0.2">
      <c r="B18" t="inlineStr">
        <is>
          <t>TỔNG SÂN 1</t>
        </is>
      </c>
      <c r="C18" t="inlineStr">
        <is>
          <t>Số ca/ngày</t>
        </is>
      </c>
      <c r="D18">
        <f>COUNTA(D5:D17)</f>
      </c>
      <c r="E18">
        <f>COUNTA(E5:E17)</f>
      </c>
      <c r="F18">
        <f>COUNTA(F5:F17)</f>
      </c>
      <c r="G18">
        <f>COUNTA(G5:G17)</f>
      </c>
      <c r="H18">
        <f>COUNTA(H5:H17)</f>
      </c>
      <c r="I18">
        <f>COUNTA(I5:I17)</f>
      </c>
      <c r="J18">
        <f>COUNTA(J5:J17)</f>
      </c>
      <c r="K18">
        <f>COUNTA(K5:K17)</f>
      </c>
      <c r="L18">
        <f>COUNTA(L5:L17)</f>
      </c>
      <c r="M18">
        <f>COUNTA(M5:M17)</f>
      </c>
      <c r="N18">
        <f>COUNTA(N5:N17)</f>
      </c>
      <c r="O18">
        <f>COUNTA(O5:O17)</f>
      </c>
      <c r="P18">
        <f>COUNTA(P5:P17)</f>
      </c>
      <c r="Q18">
        <f>COUNTA(Q5:Q17)</f>
      </c>
      <c r="R18">
        <f>COUNTA(R5:R17)</f>
      </c>
      <c r="S18">
        <f>COUNTA(S5:S17)</f>
      </c>
      <c r="T18">
        <f>COUNTA(T5:T17)</f>
      </c>
      <c r="U18">
        <f>COUNTA(U5:U17)</f>
      </c>
      <c r="V18">
        <f>COUNTA(V5:V17)</f>
      </c>
      <c r="W18">
        <f>COUNTA(W5:W17)</f>
      </c>
      <c r="X18">
        <f>COUNTA(X5:X17)</f>
      </c>
      <c r="Y18">
        <f>COUNTA(Y5:Y17)</f>
      </c>
      <c r="Z18">
        <f>COUNTA(Z5:Z17)</f>
      </c>
      <c r="AA18">
        <f>COUNTA(AA5:AA17)</f>
      </c>
      <c r="AB18">
        <f>COUNTA(AB5:AB17)</f>
      </c>
      <c r="AC18">
        <f>COUNTA(AC5:AC17)</f>
      </c>
      <c r="AD18">
        <f>COUNTA(AD5:AD17)</f>
      </c>
      <c r="AE18">
        <f>COUNTA(AE5:AE17)</f>
      </c>
      <c r="AF18">
        <f>COUNTA(AF5:AF17)</f>
      </c>
      <c r="AG18">
        <f>COUNTA(AG5:AG17)</f>
      </c>
      <c r="AH18">
        <f>COUNTA(AH5:AH17)</f>
      </c>
      <c r="AI18">
        <f>SUM(AI5:AI17)</f>
      </c>
      <c r="AJ18">
        <f>SUM(AJ5:AJ17)</f>
      </c>
    </row>
    <row r="19" spans="2:34" ht="21" customHeight="1" x14ac:dyDescent="0.2">
      <c r="C19" s="28" t="s">
        <v>27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</row>
    <row r="20" spans="2:34" s="12" customFormat="1" ht="13.5" customHeight="1" x14ac:dyDescent="0.2">
      <c r="B20" s="29" t="s">
        <v>20</v>
      </c>
      <c r="C20" s="18" t="s">
        <v>21</v>
      </c>
      <c r="D20" s="10">
        <v>1</v>
      </c>
      <c r="E20" s="10">
        <v>2</v>
      </c>
      <c r="F20" s="10">
        <v>3</v>
      </c>
      <c r="G20" s="10">
        <v>4</v>
      </c>
      <c r="H20" s="10">
        <v>5</v>
      </c>
      <c r="I20" s="10">
        <v>6</v>
      </c>
      <c r="J20" s="10">
        <v>7</v>
      </c>
      <c r="K20" s="10">
        <v>8</v>
      </c>
      <c r="L20" s="10">
        <v>9</v>
      </c>
      <c r="M20" s="10">
        <v>10</v>
      </c>
      <c r="N20" s="10">
        <v>11</v>
      </c>
      <c r="O20" s="10">
        <v>12</v>
      </c>
      <c r="P20" s="10">
        <v>13</v>
      </c>
      <c r="Q20" s="10">
        <v>14</v>
      </c>
      <c r="R20" s="10">
        <v>15</v>
      </c>
      <c r="S20" s="10">
        <v>16</v>
      </c>
      <c r="T20" s="10">
        <v>17</v>
      </c>
      <c r="U20" s="10">
        <v>18</v>
      </c>
      <c r="V20" s="10">
        <v>19</v>
      </c>
      <c r="W20" s="10">
        <v>20</v>
      </c>
      <c r="X20" s="10">
        <v>21</v>
      </c>
      <c r="Y20" s="10">
        <v>22</v>
      </c>
      <c r="Z20" s="10">
        <v>23</v>
      </c>
      <c r="AA20" s="10">
        <v>24</v>
      </c>
      <c r="AB20" s="10">
        <v>25</v>
      </c>
      <c r="AC20" s="10">
        <v>26</v>
      </c>
      <c r="AD20" s="10">
        <v>27</v>
      </c>
      <c r="AE20" s="10">
        <v>28</v>
      </c>
      <c r="AF20" s="10">
        <v>29</v>
      </c>
      <c r="AG20" s="10">
        <v>30</v>
      </c>
      <c r="AH20" s="10">
        <v>31</v>
      </c>
      <c r="AI20" t="inlineStr">
        <is>
          <t>Số ca</t>
        </is>
      </c>
      <c r="AJ20" t="inlineStr">
        <is>
          <t>Doanh thu</t>
        </is>
      </c>
    </row>
    <row r="21" spans="2:34" s="13" customFormat="1" ht="14.25" customHeight="1" x14ac:dyDescent="0.2">
      <c r="B21" s="30"/>
      <c r="C21" s="17" t="s">
        <v>22</v>
      </c>
      <c r="D21" s="24" t="s">
        <v>13</v>
      </c>
      <c r="E21" s="24" t="s">
        <v>17</v>
      </c>
      <c r="F21" s="24" t="s">
        <v>18</v>
      </c>
      <c r="G21" s="24" t="s">
        <v>19</v>
      </c>
      <c r="H21" s="24" t="s">
        <v>14</v>
      </c>
      <c r="I21" s="24" t="s">
        <v>15</v>
      </c>
      <c r="J21" s="24" t="s">
        <v>16</v>
      </c>
      <c r="K21" s="24" t="s">
        <v>13</v>
      </c>
      <c r="L21" s="24" t="s">
        <v>17</v>
      </c>
      <c r="M21" s="24" t="s">
        <v>18</v>
      </c>
      <c r="N21" s="24" t="s">
        <v>19</v>
      </c>
      <c r="O21" s="24" t="s">
        <v>14</v>
      </c>
      <c r="P21" s="24" t="s">
        <v>15</v>
      </c>
      <c r="Q21" s="24" t="s">
        <v>16</v>
      </c>
      <c r="R21" s="24" t="s">
        <v>13</v>
      </c>
      <c r="S21" s="24" t="s">
        <v>17</v>
      </c>
      <c r="T21" s="24" t="s">
        <v>18</v>
      </c>
      <c r="U21" s="24" t="s">
        <v>19</v>
      </c>
      <c r="V21" s="24" t="s">
        <v>14</v>
      </c>
      <c r="W21" s="24" t="s">
        <v>15</v>
      </c>
      <c r="X21" s="24" t="s">
        <v>16</v>
      </c>
      <c r="Y21" s="24" t="s">
        <v>13</v>
      </c>
      <c r="Z21" s="24" t="s">
        <v>17</v>
      </c>
      <c r="AA21" s="24" t="s">
        <v>18</v>
      </c>
      <c r="AB21" s="24" t="s">
        <v>19</v>
      </c>
      <c r="AC21" s="24" t="s">
        <v>14</v>
      </c>
      <c r="AD21" s="24" t="s">
        <v>15</v>
      </c>
      <c r="AE21" s="24" t="s">
        <v>16</v>
      </c>
      <c r="AF21" s="24" t="s">
        <v>13</v>
      </c>
      <c r="AG21" s="11" t="s">
        <v>17</v>
      </c>
      <c r="AH21" s="11" t="s">
        <v>18</v>
      </c>
      <c r="AI21" t="inlineStr">
        <is>
          <t>Tháng</t>
        </is>
      </c>
      <c r="AJ21" t="inlineStr">
        <is>
          <t>(Nghìn đ)</t>
        </is>
      </c>
    </row>
    <row r="22" spans="2:34" ht="18" customHeight="1" x14ac:dyDescent="0.2">
      <c r="B22" t="inlineStr">
        <is>
          <t>70k</t>
        </is>
      </c>
      <c r="C22" s="14" t="s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>
        <f>COUNTA(D22:AH22)</f>
      </c>
      <c r="AJ22">
        <f>(COUNTIF(D22:AH22,"T-*")*50)+(COUNTIF(D22:AH22,"TK-*")*70)+((COUNTA(D22:AH22)-COUNTIF(D22:AH22,"T-*")-COUNTIF(D22:AH22,"TK-*"))*70)</f>
      </c>
    </row>
    <row r="23" spans="2:34" ht="18" customHeight="1" x14ac:dyDescent="0.2">
      <c r="B23" t="inlineStr">
        <is>
          <t>100k</t>
        </is>
      </c>
      <c r="C23" s="15" t="s">
        <v>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>
        <f>COUNTA(D23:AH23)</f>
      </c>
      <c r="AJ23">
        <f>(COUNTIF(D23:AH23,"T-*")*50)+(COUNTIF(D23:AH23,"TK-*")*70)+((COUNTA(D23:AH23)-COUNTIF(D23:AH23,"T-*")-COUNTIF(D23:AH23,"TK-*"))*100)</f>
      </c>
    </row>
    <row r="24" spans="2:34" ht="18" customHeight="1" x14ac:dyDescent="0.2">
      <c r="B24" t="inlineStr">
        <is>
          <t>100k</t>
        </is>
      </c>
      <c r="C24" s="15" t="s">
        <v>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>
        <f>COUNTA(D24:AH24)</f>
      </c>
      <c r="AJ24">
        <f>(COUNTIF(D24:AH24,"T-*")*50)+(COUNTIF(D24:AH24,"TK-*")*70)+((COUNTA(D24:AH24)-COUNTIF(D24:AH24,"T-*")-COUNTIF(D24:AH24,"TK-*"))*100)</f>
      </c>
    </row>
    <row r="25" spans="2:34" ht="18" customHeight="1" x14ac:dyDescent="0.2">
      <c r="B25" t="inlineStr">
        <is>
          <t>80k</t>
        </is>
      </c>
      <c r="C25" s="15" t="s">
        <v>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>
        <f>COUNTA(D25:AH25)</f>
      </c>
      <c r="AJ25">
        <f>(COUNTIF(D25:AH25,"T-*")*50)+(COUNTIF(D25:AH25,"TK-*")*70)+((COUNTA(D25:AH25)-COUNTIF(D25:AH25,"T-*")-COUNTIF(D25:AH25,"TK-*"))*80)</f>
      </c>
    </row>
    <row r="26" spans="2:34" ht="18" customHeight="1" x14ac:dyDescent="0.2">
      <c r="B26" t="inlineStr">
        <is>
          <t>70k</t>
        </is>
      </c>
      <c r="C26" s="15" t="s">
        <v>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>
        <f>COUNTA(D26:AH26)</f>
      </c>
      <c r="AJ26">
        <f>(COUNTIF(D26:AH26,"T-*")*50)+(COUNTIF(D26:AH26,"TK-*")*70)+((COUNTA(D26:AH26)-COUNTIF(D26:AH26,"T-*")-COUNTIF(D26:AH26,"TK-*"))*70)</f>
      </c>
    </row>
    <row r="27" spans="2:34" ht="18" customHeight="1" x14ac:dyDescent="0.2">
      <c r="B27" t="inlineStr">
        <is>
          <t>70k</t>
        </is>
      </c>
      <c r="C27" s="15" t="s">
        <v>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>
        <f>COUNTA(D27:AH27)</f>
      </c>
      <c r="AJ27">
        <f>(COUNTIF(D27:AH27,"T-*")*50)+(COUNTIF(D27:AH27,"TK-*")*70)+((COUNTA(D27:AH27)-COUNTIF(D27:AH27,"T-*")-COUNTIF(D27:AH27,"TK-*"))*70)</f>
      </c>
    </row>
    <row r="28" spans="2:34" ht="18" customHeight="1" x14ac:dyDescent="0.2">
      <c r="B28" t="inlineStr">
        <is>
          <t>70k</t>
        </is>
      </c>
      <c r="C28" s="15" t="s">
        <v>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>
        <f>COUNTA(D28:AH28)</f>
      </c>
      <c r="AJ28">
        <f>(COUNTIF(D28:AH28,"T-*")*50)+(COUNTIF(D28:AH28,"TK-*")*70)+((COUNTA(D28:AH28)-COUNTIF(D28:AH28,"T-*")-COUNTIF(D28:AH28,"TK-*"))*70)</f>
      </c>
    </row>
    <row r="29" spans="2:34" ht="18" customHeight="1" x14ac:dyDescent="0.2">
      <c r="B29" t="inlineStr">
        <is>
          <t>80k</t>
        </is>
      </c>
      <c r="C29" s="15" t="s">
        <v>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>
        <f>COUNTA(D29:AH29)</f>
      </c>
      <c r="AJ29">
        <f>(COUNTIF(D29:AH29,"T-*")*50)+(COUNTIF(D29:AH29,"TK-*")*70)+((COUNTA(D29:AH29)-COUNTIF(D29:AH29,"T-*")-COUNTIF(D29:AH29,"TK-*"))*80)</f>
      </c>
    </row>
    <row r="30" spans="2:34" ht="18" customHeight="1" x14ac:dyDescent="0.2">
      <c r="B30" t="inlineStr">
        <is>
          <t>90k</t>
        </is>
      </c>
      <c r="C30" s="15" t="s">
        <v>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>
        <f>COUNTA(D30:AH30)</f>
      </c>
      <c r="AJ30">
        <f>(COUNTIF(D30:AH30,"T-*")*50)+(COUNTIF(D30:AH30,"TK-*")*70)+((COUNTA(D30:AH30)-COUNTIF(D30:AH30,"T-*")-COUNTIF(D30:AH30,"TK-*"))*90)</f>
      </c>
    </row>
    <row r="31" spans="2:34" ht="18" customHeight="1" x14ac:dyDescent="0.2">
      <c r="B31" t="inlineStr">
        <is>
          <t>100k</t>
        </is>
      </c>
      <c r="C31" s="15" t="s">
        <v>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>
        <f>COUNTA(D31:AH31)</f>
      </c>
      <c r="AJ31">
        <f>(COUNTIF(D31:AH31,"T-*")*90)+(COUNTIF(D31:AH31,"TK-*")*100)+((COUNTA(D31:AH31)-COUNTIF(D31:AH31,"T-*")-COUNTIF(D31:AH31,"TK-*"))*100)</f>
      </c>
    </row>
    <row r="32" spans="2:34" ht="18" customHeight="1" x14ac:dyDescent="0.2">
      <c r="B32" s="33"/>
      <c r="C32" s="15" t="s">
        <v>10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>
        <f>COUNTA(D32:AH32)</f>
      </c>
      <c r="AJ32">
        <f>(COUNTIF(D32:AH32,"T-*")*90)+(COUNTIF(D32:AH32,"TK-*")*100)+((COUNTA(D32:AH32)-COUNTIF(D32:AH32,"T-*")-COUNTIF(D32:AH32,"TK-*"))*100)</f>
      </c>
    </row>
    <row r="33" spans="2:34" ht="18" customHeight="1" x14ac:dyDescent="0.2">
      <c r="B33" s="34"/>
      <c r="C33" s="15" t="s">
        <v>11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>
        <f>COUNTA(D33:AH33)</f>
      </c>
      <c r="AJ33">
        <f>(COUNTIF(D33:AH33,"T-*")*90)+(COUNTIF(D33:AH33,"TK-*")*100)+((COUNTA(D33:AH33)-COUNTIF(D33:AH33,"T-*")-COUNTIF(D33:AH33,"TK-*"))*100)</f>
      </c>
    </row>
    <row r="34" spans="2:34" ht="18" customHeight="1" x14ac:dyDescent="0.2">
      <c r="B34" t="inlineStr">
        <is>
          <t>90k</t>
        </is>
      </c>
      <c r="C34" s="16" t="s">
        <v>12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>
        <f>COUNTA(D34:AH34)</f>
      </c>
      <c r="AJ34">
        <f>(COUNTIF(D34:AH34,"T-*")*90)+(COUNTIF(D34:AH34,"TK-*")*100)+((COUNTA(D34:AH34)-COUNTIF(D34:AH34,"T-*")-COUNTIF(D34:AH34,"TK-*"))*90)</f>
      </c>
    </row>
    <row r="35" spans="2:34" ht="9.75" customHeight="1" x14ac:dyDescent="0.2">
      <c r="B35" t="inlineStr">
        <is>
          <t>TỔNG SÂN 2</t>
        </is>
      </c>
      <c r="C35" t="inlineStr">
        <is>
          <t>Số ca/ngày</t>
        </is>
      </c>
      <c r="D35">
        <f>COUNTA(D22:D34)</f>
      </c>
      <c r="E35">
        <f>COUNTA(E22:E34)</f>
      </c>
      <c r="F35">
        <f>COUNTA(F22:F34)</f>
      </c>
      <c r="G35">
        <f>COUNTA(G22:G34)</f>
      </c>
      <c r="H35">
        <f>COUNTA(H22:H34)</f>
      </c>
      <c r="I35">
        <f>COUNTA(I22:I34)</f>
      </c>
      <c r="J35">
        <f>COUNTA(J22:J34)</f>
      </c>
      <c r="K35">
        <f>COUNTA(K22:K34)</f>
      </c>
      <c r="L35">
        <f>COUNTA(L22:L34)</f>
      </c>
      <c r="M35">
        <f>COUNTA(M22:M34)</f>
      </c>
      <c r="N35">
        <f>COUNTA(N22:N34)</f>
      </c>
      <c r="O35">
        <f>COUNTA(O22:O34)</f>
      </c>
      <c r="P35">
        <f>COUNTA(P22:P34)</f>
      </c>
      <c r="Q35">
        <f>COUNTA(Q22:Q34)</f>
      </c>
      <c r="R35">
        <f>COUNTA(R22:R34)</f>
      </c>
      <c r="S35">
        <f>COUNTA(S22:S34)</f>
      </c>
      <c r="T35">
        <f>COUNTA(T22:T34)</f>
      </c>
      <c r="U35">
        <f>COUNTA(U22:U34)</f>
      </c>
      <c r="V35">
        <f>COUNTA(V22:V34)</f>
      </c>
      <c r="W35">
        <f>COUNTA(W22:W34)</f>
      </c>
      <c r="X35">
        <f>COUNTA(X22:X34)</f>
      </c>
      <c r="Y35">
        <f>COUNTA(Y22:Y34)</f>
      </c>
      <c r="Z35">
        <f>COUNTA(Z22:Z34)</f>
      </c>
      <c r="AA35">
        <f>COUNTA(AA22:AA34)</f>
      </c>
      <c r="AB35">
        <f>COUNTA(AB22:AB34)</f>
      </c>
      <c r="AC35">
        <f>COUNTA(AC22:AC34)</f>
      </c>
      <c r="AD35">
        <f>COUNTA(AD22:AD34)</f>
      </c>
      <c r="AE35">
        <f>COUNTA(AE22:AE34)</f>
      </c>
      <c r="AF35">
        <f>COUNTA(AF22:AF34)</f>
      </c>
      <c r="AG35">
        <f>COUNTA(AG22:AG34)</f>
      </c>
      <c r="AH35">
        <f>COUNTA(AH22:AH34)</f>
      </c>
      <c r="AI35">
        <f>SUM(AI22:AI34)</f>
      </c>
      <c r="AJ35">
        <f>SUM(AJ22:AJ34)</f>
      </c>
    </row>
    <row r="36" spans="2:34" ht="14.1" customHeight="1" x14ac:dyDescent="0.25">
      <c r="B36" s="31" t="s">
        <v>24</v>
      </c>
      <c r="C36" s="31"/>
      <c r="D36" s="22" t="s">
        <v>25</v>
      </c>
      <c r="E36" s="22"/>
      <c r="F36" s="22"/>
      <c r="G36" s="22"/>
      <c r="H36" s="22"/>
      <c r="I36" s="22"/>
      <c r="J36" s="22"/>
      <c r="K36" s="22"/>
      <c r="L36" s="22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 spans="2:34" ht="14.1" customHeight="1" x14ac:dyDescent="0.25">
      <c r="B37" s="23"/>
      <c r="C37" s="22"/>
      <c r="D37" s="22" t="s">
        <v>26</v>
      </c>
      <c r="E37" s="22"/>
      <c r="F37" s="22"/>
      <c r="G37" s="22"/>
      <c r="H37" s="22"/>
      <c r="I37" s="22"/>
      <c r="J37" s="22"/>
      <c r="K37" s="22"/>
      <c r="L37" s="22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  <row r="38">
      <c r="B38" t="inlineStr">
        <is>
          <t>TỔNG 2 SÂN</t>
        </is>
      </c>
      <c r="C38" t="inlineStr">
        <is>
          <t>Cả tháng (Nghìn đ)</t>
        </is>
      </c>
      <c r="D38" t="inlineStr">
        <is>
          <t>Mẹo nhập tự động tính tiền: Ghi Tên khách (VD: A.Tuấn) = Giá thường | Ghi T-Tên (VD: T-Hùng) = Thầy dạy TX (50k/90k) | Ghi TK-Tên = Thầy KTX (70k/100k)</t>
        </is>
      </c>
      <c r="AI38">
        <f>AI18+AI35</f>
      </c>
      <c r="AJ38">
        <f>AJ18+AJ35</f>
      </c>
    </row>
  </sheetData>
  <mergeCells count="7">
    <mergeCell ref="C2:AH2"/>
    <mergeCell ref="B3:B4"/>
    <mergeCell ref="C19:AH19"/>
    <mergeCell ref="B20:B21"/>
    <mergeCell ref="B36:C36"/>
    <mergeCell ref="B31:B33"/>
    <mergeCell ref="B14:B16"/>
  </mergeCells>
  <pageMargins left="0.17" right="0.17" top="0.17" bottom="0.17" header="0.17" footer="0.17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37"/>
  <sheetViews>
    <sheetView topLeftCell="A7" workbookViewId="0">
      <selection activeCell="U23" sqref="U23"/>
    </sheetView>
  </sheetViews>
  <sheetFormatPr defaultRowHeight="12.75" x14ac:dyDescent="0.2"/>
  <cols>
    <col min="1" max="1" width="1.109375" style="1" customWidth="1"/>
    <col min="2" max="2" width="5" style="9" customWidth="1"/>
    <col min="3" max="3" width="8" style="2" customWidth="1"/>
    <col min="4" max="4" width="2.77734375" style="2" customWidth="1"/>
    <col min="5" max="5" width="3" style="2" customWidth="1"/>
    <col min="6" max="12" width="3" style="2" bestFit="1" customWidth="1"/>
    <col min="13" max="34" width="3" style="1" bestFit="1" customWidth="1"/>
    <col min="35" max="16384" width="8.88671875" style="1"/>
  </cols>
  <sheetData>
    <row r="1" spans="2:34" ht="8.25" customHeight="1" x14ac:dyDescent="0.2"/>
    <row r="2" spans="2:34" ht="21.75" customHeight="1" x14ac:dyDescent="0.2">
      <c r="C2" s="28" t="s">
        <v>32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</row>
    <row r="3" spans="2:34" s="12" customFormat="1" ht="13.5" customHeight="1" x14ac:dyDescent="0.2">
      <c r="B3" s="29" t="s">
        <v>20</v>
      </c>
      <c r="C3" s="18" t="s">
        <v>21</v>
      </c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0">
        <v>19</v>
      </c>
      <c r="W3" s="10">
        <v>20</v>
      </c>
      <c r="X3" s="10">
        <v>21</v>
      </c>
      <c r="Y3" s="10">
        <v>22</v>
      </c>
      <c r="Z3" s="10">
        <v>23</v>
      </c>
      <c r="AA3" s="10">
        <v>24</v>
      </c>
      <c r="AB3" s="10">
        <v>25</v>
      </c>
      <c r="AC3" s="10">
        <v>26</v>
      </c>
      <c r="AD3" s="10">
        <v>27</v>
      </c>
      <c r="AE3" s="10">
        <v>28</v>
      </c>
      <c r="AF3" s="10">
        <v>29</v>
      </c>
      <c r="AG3" s="10">
        <v>30</v>
      </c>
      <c r="AH3" s="10">
        <v>31</v>
      </c>
      <c r="AI3" t="inlineStr">
        <is>
          <t>Số ca</t>
        </is>
      </c>
      <c r="AJ3" t="inlineStr">
        <is>
          <t>Doanh thu</t>
        </is>
      </c>
    </row>
    <row r="4" spans="2:34" s="13" customFormat="1" ht="14.25" customHeight="1" x14ac:dyDescent="0.2">
      <c r="B4" s="30"/>
      <c r="C4" s="17" t="s">
        <v>22</v>
      </c>
      <c r="D4" s="11" t="s">
        <v>14</v>
      </c>
      <c r="E4" s="11" t="s">
        <v>15</v>
      </c>
      <c r="F4" s="11" t="s">
        <v>16</v>
      </c>
      <c r="G4" s="11" t="s">
        <v>13</v>
      </c>
      <c r="H4" s="11" t="s">
        <v>17</v>
      </c>
      <c r="I4" s="11" t="s">
        <v>18</v>
      </c>
      <c r="J4" s="11" t="s">
        <v>19</v>
      </c>
      <c r="K4" s="11" t="s">
        <v>14</v>
      </c>
      <c r="L4" s="11" t="s">
        <v>15</v>
      </c>
      <c r="M4" s="11" t="s">
        <v>16</v>
      </c>
      <c r="N4" s="11" t="s">
        <v>13</v>
      </c>
      <c r="O4" s="11" t="s">
        <v>17</v>
      </c>
      <c r="P4" s="11" t="s">
        <v>18</v>
      </c>
      <c r="Q4" s="11" t="s">
        <v>19</v>
      </c>
      <c r="R4" s="11" t="s">
        <v>14</v>
      </c>
      <c r="S4" s="11" t="s">
        <v>15</v>
      </c>
      <c r="T4" s="11" t="s">
        <v>16</v>
      </c>
      <c r="U4" s="11" t="s">
        <v>13</v>
      </c>
      <c r="V4" s="11" t="s">
        <v>17</v>
      </c>
      <c r="W4" s="11" t="s">
        <v>18</v>
      </c>
      <c r="X4" s="11" t="s">
        <v>19</v>
      </c>
      <c r="Y4" s="11" t="s">
        <v>14</v>
      </c>
      <c r="Z4" s="11" t="s">
        <v>15</v>
      </c>
      <c r="AA4" s="11" t="s">
        <v>16</v>
      </c>
      <c r="AB4" s="11" t="s">
        <v>13</v>
      </c>
      <c r="AC4" s="11" t="s">
        <v>17</v>
      </c>
      <c r="AD4" s="11" t="s">
        <v>18</v>
      </c>
      <c r="AE4" s="11" t="s">
        <v>19</v>
      </c>
      <c r="AF4" s="11" t="s">
        <v>14</v>
      </c>
      <c r="AG4" s="11" t="s">
        <v>15</v>
      </c>
      <c r="AH4" s="11" t="s">
        <v>16</v>
      </c>
      <c r="AI4" t="inlineStr">
        <is>
          <t>Tháng</t>
        </is>
      </c>
      <c r="AJ4" t="inlineStr">
        <is>
          <t>(Nghìn đ)</t>
        </is>
      </c>
    </row>
    <row r="5" spans="2:34" ht="18" customHeight="1" x14ac:dyDescent="0.2">
      <c r="B5" t="inlineStr">
        <is>
          <t>70k</t>
        </is>
      </c>
      <c r="C5" s="14" t="s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>
        <f>COUNTA(D5:AH5)</f>
      </c>
      <c r="AJ5">
        <f>(COUNTIF(D5:AH5,"T-*")*50)+(COUNTIF(D5:AH5,"TK-*")*70)+((COUNTA(D5:AH5)-COUNTIF(D5:AH5,"T-*")-COUNTIF(D5:AH5,"TK-*"))*70)</f>
      </c>
    </row>
    <row r="6" spans="2:34" ht="18" customHeight="1" x14ac:dyDescent="0.2">
      <c r="B6" t="inlineStr">
        <is>
          <t>100k</t>
        </is>
      </c>
      <c r="C6" s="15" t="s">
        <v>1</v>
      </c>
      <c r="D6" s="5"/>
      <c r="E6" s="5"/>
      <c r="F6" s="5"/>
      <c r="G6" s="5"/>
      <c r="H6" s="5"/>
      <c r="I6" s="5"/>
      <c r="J6" s="5"/>
      <c r="K6" s="5"/>
      <c r="L6" s="5"/>
      <c r="M6" s="5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>
        <f>COUNTA(D6:AH6)</f>
      </c>
      <c r="AJ6">
        <f>(COUNTIF(D6:AH6,"T-*")*50)+(COUNTIF(D6:AH6,"TK-*")*70)+((COUNTA(D6:AH6)-COUNTIF(D6:AH6,"T-*")-COUNTIF(D6:AH6,"TK-*"))*100)</f>
      </c>
    </row>
    <row r="7" spans="2:34" ht="18" customHeight="1" x14ac:dyDescent="0.2">
      <c r="B7" t="inlineStr">
        <is>
          <t>100k</t>
        </is>
      </c>
      <c r="C7" s="15" t="s">
        <v>2</v>
      </c>
      <c r="D7" s="5"/>
      <c r="E7" s="5"/>
      <c r="F7" s="5"/>
      <c r="G7" s="5"/>
      <c r="H7" s="5"/>
      <c r="I7" s="5"/>
      <c r="J7" s="5"/>
      <c r="K7" s="5"/>
      <c r="L7" s="5"/>
      <c r="M7" s="5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>
        <f>COUNTA(D7:AH7)</f>
      </c>
      <c r="AJ7">
        <f>(COUNTIF(D7:AH7,"T-*")*50)+(COUNTIF(D7:AH7,"TK-*")*70)+((COUNTA(D7:AH7)-COUNTIF(D7:AH7,"T-*")-COUNTIF(D7:AH7,"TK-*"))*100)</f>
      </c>
    </row>
    <row r="8" spans="2:34" ht="18" customHeight="1" x14ac:dyDescent="0.2">
      <c r="B8" t="inlineStr">
        <is>
          <t>80k</t>
        </is>
      </c>
      <c r="C8" s="15" t="s">
        <v>3</v>
      </c>
      <c r="D8" s="5"/>
      <c r="E8" s="5"/>
      <c r="F8" s="5"/>
      <c r="G8" s="5"/>
      <c r="H8" s="5"/>
      <c r="I8" s="5"/>
      <c r="J8" s="5"/>
      <c r="K8" s="5"/>
      <c r="L8" s="5"/>
      <c r="M8" s="5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>
        <f>COUNTA(D8:AH8)</f>
      </c>
      <c r="AJ8">
        <f>(COUNTIF(D8:AH8,"T-*")*50)+(COUNTIF(D8:AH8,"TK-*")*70)+((COUNTA(D8:AH8)-COUNTIF(D8:AH8,"T-*")-COUNTIF(D8:AH8,"TK-*"))*80)</f>
      </c>
    </row>
    <row r="9" spans="2:34" ht="18" customHeight="1" x14ac:dyDescent="0.2">
      <c r="B9" t="inlineStr">
        <is>
          <t>70k</t>
        </is>
      </c>
      <c r="C9" s="15" t="s">
        <v>4</v>
      </c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>
        <f>COUNTA(D9:AH9)</f>
      </c>
      <c r="AJ9">
        <f>(COUNTIF(D9:AH9,"T-*")*50)+(COUNTIF(D9:AH9,"TK-*")*70)+((COUNTA(D9:AH9)-COUNTIF(D9:AH9,"T-*")-COUNTIF(D9:AH9,"TK-*"))*70)</f>
      </c>
    </row>
    <row r="10" spans="2:34" ht="18" customHeight="1" x14ac:dyDescent="0.2">
      <c r="B10" t="inlineStr">
        <is>
          <t>70k</t>
        </is>
      </c>
      <c r="C10" s="15" t="s">
        <v>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>
        <f>COUNTA(D10:AH10)</f>
      </c>
      <c r="AJ10">
        <f>(COUNTIF(D10:AH10,"T-*")*50)+(COUNTIF(D10:AH10,"TK-*")*70)+((COUNTA(D10:AH10)-COUNTIF(D10:AH10,"T-*")-COUNTIF(D10:AH10,"TK-*"))*70)</f>
      </c>
    </row>
    <row r="11" spans="2:34" ht="18" customHeight="1" x14ac:dyDescent="0.2">
      <c r="B11" t="inlineStr">
        <is>
          <t>70k</t>
        </is>
      </c>
      <c r="C11" s="15" t="s">
        <v>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>
        <f>COUNTA(D11:AH11)</f>
      </c>
      <c r="AJ11">
        <f>(COUNTIF(D11:AH11,"T-*")*50)+(COUNTIF(D11:AH11,"TK-*")*70)+((COUNTA(D11:AH11)-COUNTIF(D11:AH11,"T-*")-COUNTIF(D11:AH11,"TK-*"))*70)</f>
      </c>
    </row>
    <row r="12" spans="2:34" ht="18" customHeight="1" x14ac:dyDescent="0.2">
      <c r="B12" t="inlineStr">
        <is>
          <t>80k</t>
        </is>
      </c>
      <c r="C12" s="15" t="s">
        <v>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>
        <f>COUNTA(D12:AH12)</f>
      </c>
      <c r="AJ12">
        <f>(COUNTIF(D12:AH12,"T-*")*50)+(COUNTIF(D12:AH12,"TK-*")*70)+((COUNTA(D12:AH12)-COUNTIF(D12:AH12,"T-*")-COUNTIF(D12:AH12,"TK-*"))*80)</f>
      </c>
    </row>
    <row r="13" spans="2:34" ht="18" customHeight="1" x14ac:dyDescent="0.2">
      <c r="B13" t="inlineStr">
        <is>
          <t>90k</t>
        </is>
      </c>
      <c r="C13" s="15" t="s">
        <v>8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>
        <f>COUNTA(D13:AH13)</f>
      </c>
      <c r="AJ13">
        <f>(COUNTIF(D13:AH13,"T-*")*50)+(COUNTIF(D13:AH13,"TK-*")*70)+((COUNTA(D13:AH13)-COUNTIF(D13:AH13,"T-*")-COUNTIF(D13:AH13,"TK-*"))*90)</f>
      </c>
    </row>
    <row r="14" spans="2:34" ht="18" customHeight="1" x14ac:dyDescent="0.2">
      <c r="B14" t="inlineStr">
        <is>
          <t>100k</t>
        </is>
      </c>
      <c r="C14" s="15" t="s">
        <v>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>
        <f>COUNTA(D14:AH14)</f>
      </c>
      <c r="AJ14">
        <f>(COUNTIF(D14:AH14,"T-*")*90)+(COUNTIF(D14:AH14,"TK-*")*100)+((COUNTA(D14:AH14)-COUNTIF(D14:AH14,"T-*")-COUNTIF(D14:AH14,"TK-*"))*100)</f>
      </c>
    </row>
    <row r="15" spans="2:34" ht="18" customHeight="1" x14ac:dyDescent="0.2">
      <c r="B15" s="20"/>
      <c r="C15" s="15" t="s">
        <v>10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>
        <f>COUNTA(D15:AH15)</f>
      </c>
      <c r="AJ15">
        <f>(COUNTIF(D15:AH15,"T-*")*90)+(COUNTIF(D15:AH15,"TK-*")*100)+((COUNTA(D15:AH15)-COUNTIF(D15:AH15,"T-*")-COUNTIF(D15:AH15,"TK-*"))*100)</f>
      </c>
    </row>
    <row r="16" spans="2:34" ht="18" customHeight="1" x14ac:dyDescent="0.2">
      <c r="B16" s="20"/>
      <c r="C16" s="15" t="s">
        <v>11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>
        <f>COUNTA(D16:AH16)</f>
      </c>
      <c r="AJ16">
        <f>(COUNTIF(D16:AH16,"T-*")*90)+(COUNTIF(D16:AH16,"TK-*")*100)+((COUNTA(D16:AH16)-COUNTIF(D16:AH16,"T-*")-COUNTIF(D16:AH16,"TK-*"))*100)</f>
      </c>
    </row>
    <row r="17" spans="2:34" ht="18" customHeight="1" x14ac:dyDescent="0.2">
      <c r="B17" t="inlineStr">
        <is>
          <t>90k</t>
        </is>
      </c>
      <c r="C17" s="16" t="s">
        <v>12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>
        <f>COUNTA(D17:AH17)</f>
      </c>
      <c r="AJ17">
        <f>(COUNTIF(D17:AH17,"T-*")*90)+(COUNTIF(D17:AH17,"TK-*")*100)+((COUNTA(D17:AH17)-COUNTIF(D17:AH17,"T-*")-COUNTIF(D17:AH17,"TK-*"))*90)</f>
      </c>
    </row>
    <row r="18" spans="2:34" ht="10.5" customHeight="1" x14ac:dyDescent="0.2">
      <c r="B18" t="inlineStr">
        <is>
          <t>TỔNG SÂN 1</t>
        </is>
      </c>
      <c r="C18" t="inlineStr">
        <is>
          <t>Số ca/ngày</t>
        </is>
      </c>
      <c r="D18">
        <f>COUNTA(D5:D17)</f>
      </c>
      <c r="E18">
        <f>COUNTA(E5:E17)</f>
      </c>
      <c r="F18">
        <f>COUNTA(F5:F17)</f>
      </c>
      <c r="G18">
        <f>COUNTA(G5:G17)</f>
      </c>
      <c r="H18">
        <f>COUNTA(H5:H17)</f>
      </c>
      <c r="I18">
        <f>COUNTA(I5:I17)</f>
      </c>
      <c r="J18">
        <f>COUNTA(J5:J17)</f>
      </c>
      <c r="K18">
        <f>COUNTA(K5:K17)</f>
      </c>
      <c r="L18">
        <f>COUNTA(L5:L17)</f>
      </c>
      <c r="M18">
        <f>COUNTA(M5:M17)</f>
      </c>
      <c r="N18">
        <f>COUNTA(N5:N17)</f>
      </c>
      <c r="O18">
        <f>COUNTA(O5:O17)</f>
      </c>
      <c r="P18">
        <f>COUNTA(P5:P17)</f>
      </c>
      <c r="Q18">
        <f>COUNTA(Q5:Q17)</f>
      </c>
      <c r="R18">
        <f>COUNTA(R5:R17)</f>
      </c>
      <c r="S18">
        <f>COUNTA(S5:S17)</f>
      </c>
      <c r="T18">
        <f>COUNTA(T5:T17)</f>
      </c>
      <c r="U18">
        <f>COUNTA(U5:U17)</f>
      </c>
      <c r="V18">
        <f>COUNTA(V5:V17)</f>
      </c>
      <c r="W18">
        <f>COUNTA(W5:W17)</f>
      </c>
      <c r="X18">
        <f>COUNTA(X5:X17)</f>
      </c>
      <c r="Y18">
        <f>COUNTA(Y5:Y17)</f>
      </c>
      <c r="Z18">
        <f>COUNTA(Z5:Z17)</f>
      </c>
      <c r="AA18">
        <f>COUNTA(AA5:AA17)</f>
      </c>
      <c r="AB18">
        <f>COUNTA(AB5:AB17)</f>
      </c>
      <c r="AC18">
        <f>COUNTA(AC5:AC17)</f>
      </c>
      <c r="AD18">
        <f>COUNTA(AD5:AD17)</f>
      </c>
      <c r="AE18">
        <f>COUNTA(AE5:AE17)</f>
      </c>
      <c r="AF18">
        <f>COUNTA(AF5:AF17)</f>
      </c>
      <c r="AG18">
        <f>COUNTA(AG5:AG17)</f>
      </c>
      <c r="AH18">
        <f>COUNTA(AH5:AH17)</f>
      </c>
      <c r="AI18">
        <f>SUM(AI5:AI17)</f>
      </c>
      <c r="AJ18">
        <f>SUM(AJ5:AJ17)</f>
      </c>
    </row>
    <row r="19" spans="2:34" ht="21" customHeight="1" x14ac:dyDescent="0.2">
      <c r="C19" s="28" t="s">
        <v>33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</row>
    <row r="20" spans="2:34" s="12" customFormat="1" ht="13.5" customHeight="1" x14ac:dyDescent="0.2">
      <c r="B20" s="29" t="s">
        <v>20</v>
      </c>
      <c r="C20" s="18" t="s">
        <v>21</v>
      </c>
      <c r="D20" s="10">
        <v>1</v>
      </c>
      <c r="E20" s="10">
        <v>2</v>
      </c>
      <c r="F20" s="10">
        <v>3</v>
      </c>
      <c r="G20" s="10">
        <v>4</v>
      </c>
      <c r="H20" s="10">
        <v>5</v>
      </c>
      <c r="I20" s="10">
        <v>6</v>
      </c>
      <c r="J20" s="10">
        <v>7</v>
      </c>
      <c r="K20" s="10">
        <v>8</v>
      </c>
      <c r="L20" s="10">
        <v>9</v>
      </c>
      <c r="M20" s="10">
        <v>10</v>
      </c>
      <c r="N20" s="10">
        <v>11</v>
      </c>
      <c r="O20" s="10">
        <v>12</v>
      </c>
      <c r="P20" s="10">
        <v>13</v>
      </c>
      <c r="Q20" s="10">
        <v>14</v>
      </c>
      <c r="R20" s="10">
        <v>15</v>
      </c>
      <c r="S20" s="10">
        <v>16</v>
      </c>
      <c r="T20" s="10">
        <v>17</v>
      </c>
      <c r="U20" s="10">
        <v>18</v>
      </c>
      <c r="V20" s="10">
        <v>19</v>
      </c>
      <c r="W20" s="10">
        <v>20</v>
      </c>
      <c r="X20" s="10">
        <v>21</v>
      </c>
      <c r="Y20" s="10">
        <v>22</v>
      </c>
      <c r="Z20" s="10">
        <v>23</v>
      </c>
      <c r="AA20" s="10">
        <v>24</v>
      </c>
      <c r="AB20" s="10">
        <v>25</v>
      </c>
      <c r="AC20" s="10">
        <v>26</v>
      </c>
      <c r="AD20" s="10">
        <v>27</v>
      </c>
      <c r="AE20" s="10">
        <v>28</v>
      </c>
      <c r="AF20" s="10">
        <v>29</v>
      </c>
      <c r="AG20" s="10">
        <v>30</v>
      </c>
      <c r="AH20" s="10">
        <v>31</v>
      </c>
      <c r="AI20" t="inlineStr">
        <is>
          <t>Số ca</t>
        </is>
      </c>
      <c r="AJ20" t="inlineStr">
        <is>
          <t>Doanh thu</t>
        </is>
      </c>
    </row>
    <row r="21" spans="2:34" s="13" customFormat="1" ht="14.25" customHeight="1" x14ac:dyDescent="0.2">
      <c r="B21" s="30"/>
      <c r="C21" s="17" t="s">
        <v>22</v>
      </c>
      <c r="D21" s="11" t="s">
        <v>14</v>
      </c>
      <c r="E21" s="11" t="s">
        <v>15</v>
      </c>
      <c r="F21" s="11" t="s">
        <v>16</v>
      </c>
      <c r="G21" s="11" t="s">
        <v>13</v>
      </c>
      <c r="H21" s="11" t="s">
        <v>17</v>
      </c>
      <c r="I21" s="11" t="s">
        <v>18</v>
      </c>
      <c r="J21" s="11" t="s">
        <v>19</v>
      </c>
      <c r="K21" s="11" t="s">
        <v>14</v>
      </c>
      <c r="L21" s="11" t="s">
        <v>15</v>
      </c>
      <c r="M21" s="11" t="s">
        <v>16</v>
      </c>
      <c r="N21" s="11" t="s">
        <v>13</v>
      </c>
      <c r="O21" s="11" t="s">
        <v>17</v>
      </c>
      <c r="P21" s="11" t="s">
        <v>18</v>
      </c>
      <c r="Q21" s="11" t="s">
        <v>19</v>
      </c>
      <c r="R21" s="11" t="s">
        <v>14</v>
      </c>
      <c r="S21" s="11" t="s">
        <v>15</v>
      </c>
      <c r="T21" s="11" t="s">
        <v>16</v>
      </c>
      <c r="U21" s="11" t="s">
        <v>13</v>
      </c>
      <c r="V21" s="11" t="s">
        <v>17</v>
      </c>
      <c r="W21" s="11" t="s">
        <v>18</v>
      </c>
      <c r="X21" s="11" t="s">
        <v>19</v>
      </c>
      <c r="Y21" s="11" t="s">
        <v>14</v>
      </c>
      <c r="Z21" s="11" t="s">
        <v>15</v>
      </c>
      <c r="AA21" s="11" t="s">
        <v>16</v>
      </c>
      <c r="AB21" s="11" t="s">
        <v>13</v>
      </c>
      <c r="AC21" s="11" t="s">
        <v>17</v>
      </c>
      <c r="AD21" s="11" t="s">
        <v>18</v>
      </c>
      <c r="AE21" s="11" t="s">
        <v>19</v>
      </c>
      <c r="AF21" s="11" t="s">
        <v>14</v>
      </c>
      <c r="AG21" s="11" t="s">
        <v>15</v>
      </c>
      <c r="AH21" s="11" t="s">
        <v>16</v>
      </c>
      <c r="AI21" t="inlineStr">
        <is>
          <t>Tháng</t>
        </is>
      </c>
      <c r="AJ21" t="inlineStr">
        <is>
          <t>(Nghìn đ)</t>
        </is>
      </c>
    </row>
    <row r="22" spans="2:34" ht="18" customHeight="1" x14ac:dyDescent="0.2">
      <c r="B22" t="inlineStr">
        <is>
          <t>70k</t>
        </is>
      </c>
      <c r="C22" s="14" t="s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>
        <f>COUNTA(D22:AH22)</f>
      </c>
      <c r="AJ22">
        <f>(COUNTIF(D22:AH22,"T-*")*50)+(COUNTIF(D22:AH22,"TK-*")*70)+((COUNTA(D22:AH22)-COUNTIF(D22:AH22,"T-*")-COUNTIF(D22:AH22,"TK-*"))*70)</f>
      </c>
    </row>
    <row r="23" spans="2:34" ht="18" customHeight="1" x14ac:dyDescent="0.2">
      <c r="B23" t="inlineStr">
        <is>
          <t>100k</t>
        </is>
      </c>
      <c r="C23" s="15" t="s">
        <v>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>
        <f>COUNTA(D23:AH23)</f>
      </c>
      <c r="AJ23">
        <f>(COUNTIF(D23:AH23,"T-*")*50)+(COUNTIF(D23:AH23,"TK-*")*70)+((COUNTA(D23:AH23)-COUNTIF(D23:AH23,"T-*")-COUNTIF(D23:AH23,"TK-*"))*100)</f>
      </c>
    </row>
    <row r="24" spans="2:34" ht="18" customHeight="1" x14ac:dyDescent="0.2">
      <c r="B24" t="inlineStr">
        <is>
          <t>100k</t>
        </is>
      </c>
      <c r="C24" s="15" t="s">
        <v>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>
        <f>COUNTA(D24:AH24)</f>
      </c>
      <c r="AJ24">
        <f>(COUNTIF(D24:AH24,"T-*")*50)+(COUNTIF(D24:AH24,"TK-*")*70)+((COUNTA(D24:AH24)-COUNTIF(D24:AH24,"T-*")-COUNTIF(D24:AH24,"TK-*"))*100)</f>
      </c>
    </row>
    <row r="25" spans="2:34" ht="18" customHeight="1" x14ac:dyDescent="0.2">
      <c r="B25" t="inlineStr">
        <is>
          <t>80k</t>
        </is>
      </c>
      <c r="C25" s="15" t="s">
        <v>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>
        <f>COUNTA(D25:AH25)</f>
      </c>
      <c r="AJ25">
        <f>(COUNTIF(D25:AH25,"T-*")*50)+(COUNTIF(D25:AH25,"TK-*")*70)+((COUNTA(D25:AH25)-COUNTIF(D25:AH25,"T-*")-COUNTIF(D25:AH25,"TK-*"))*80)</f>
      </c>
    </row>
    <row r="26" spans="2:34" ht="18" customHeight="1" x14ac:dyDescent="0.2">
      <c r="B26" t="inlineStr">
        <is>
          <t>70k</t>
        </is>
      </c>
      <c r="C26" s="15" t="s">
        <v>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>
        <f>COUNTA(D26:AH26)</f>
      </c>
      <c r="AJ26">
        <f>(COUNTIF(D26:AH26,"T-*")*50)+(COUNTIF(D26:AH26,"TK-*")*70)+((COUNTA(D26:AH26)-COUNTIF(D26:AH26,"T-*")-COUNTIF(D26:AH26,"TK-*"))*70)</f>
      </c>
    </row>
    <row r="27" spans="2:34" ht="18" customHeight="1" x14ac:dyDescent="0.2">
      <c r="B27" t="inlineStr">
        <is>
          <t>70k</t>
        </is>
      </c>
      <c r="C27" s="15" t="s">
        <v>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>
        <f>COUNTA(D27:AH27)</f>
      </c>
      <c r="AJ27">
        <f>(COUNTIF(D27:AH27,"T-*")*50)+(COUNTIF(D27:AH27,"TK-*")*70)+((COUNTA(D27:AH27)-COUNTIF(D27:AH27,"T-*")-COUNTIF(D27:AH27,"TK-*"))*70)</f>
      </c>
    </row>
    <row r="28" spans="2:34" ht="18" customHeight="1" x14ac:dyDescent="0.2">
      <c r="B28" t="inlineStr">
        <is>
          <t>70k</t>
        </is>
      </c>
      <c r="C28" s="15" t="s">
        <v>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>
        <f>COUNTA(D28:AH28)</f>
      </c>
      <c r="AJ28">
        <f>(COUNTIF(D28:AH28,"T-*")*50)+(COUNTIF(D28:AH28,"TK-*")*70)+((COUNTA(D28:AH28)-COUNTIF(D28:AH28,"T-*")-COUNTIF(D28:AH28,"TK-*"))*70)</f>
      </c>
    </row>
    <row r="29" spans="2:34" ht="18" customHeight="1" x14ac:dyDescent="0.2">
      <c r="B29" t="inlineStr">
        <is>
          <t>80k</t>
        </is>
      </c>
      <c r="C29" s="15" t="s">
        <v>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>
        <f>COUNTA(D29:AH29)</f>
      </c>
      <c r="AJ29">
        <f>(COUNTIF(D29:AH29,"T-*")*50)+(COUNTIF(D29:AH29,"TK-*")*70)+((COUNTA(D29:AH29)-COUNTIF(D29:AH29,"T-*")-COUNTIF(D29:AH29,"TK-*"))*80)</f>
      </c>
    </row>
    <row r="30" spans="2:34" ht="18" customHeight="1" x14ac:dyDescent="0.2">
      <c r="B30" t="inlineStr">
        <is>
          <t>90k</t>
        </is>
      </c>
      <c r="C30" s="15" t="s">
        <v>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>
        <f>COUNTA(D30:AH30)</f>
      </c>
      <c r="AJ30">
        <f>(COUNTIF(D30:AH30,"T-*")*50)+(COUNTIF(D30:AH30,"TK-*")*70)+((COUNTA(D30:AH30)-COUNTIF(D30:AH30,"T-*")-COUNTIF(D30:AH30,"TK-*"))*90)</f>
      </c>
    </row>
    <row r="31" spans="2:34" ht="18" customHeight="1" x14ac:dyDescent="0.2">
      <c r="B31" t="inlineStr">
        <is>
          <t>100k</t>
        </is>
      </c>
      <c r="C31" s="15" t="s">
        <v>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>
        <f>COUNTA(D31:AH31)</f>
      </c>
      <c r="AJ31">
        <f>(COUNTIF(D31:AH31,"T-*")*90)+(COUNTIF(D31:AH31,"TK-*")*100)+((COUNTA(D31:AH31)-COUNTIF(D31:AH31,"T-*")-COUNTIF(D31:AH31,"TK-*"))*100)</f>
      </c>
    </row>
    <row r="32" spans="2:34" ht="18" customHeight="1" x14ac:dyDescent="0.2">
      <c r="B32" s="20"/>
      <c r="C32" s="15" t="s">
        <v>10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>
        <f>COUNTA(D32:AH32)</f>
      </c>
      <c r="AJ32">
        <f>(COUNTIF(D32:AH32,"T-*")*90)+(COUNTIF(D32:AH32,"TK-*")*100)+((COUNTA(D32:AH32)-COUNTIF(D32:AH32,"T-*")-COUNTIF(D32:AH32,"TK-*"))*100)</f>
      </c>
    </row>
    <row r="33" spans="2:34" ht="18" customHeight="1" x14ac:dyDescent="0.2">
      <c r="B33" s="20"/>
      <c r="C33" s="15" t="s">
        <v>11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>
        <f>COUNTA(D33:AH33)</f>
      </c>
      <c r="AJ33">
        <f>(COUNTIF(D33:AH33,"T-*")*90)+(COUNTIF(D33:AH33,"TK-*")*100)+((COUNTA(D33:AH33)-COUNTIF(D33:AH33,"T-*")-COUNTIF(D33:AH33,"TK-*"))*100)</f>
      </c>
    </row>
    <row r="34" spans="2:34" ht="18" customHeight="1" x14ac:dyDescent="0.2">
      <c r="B34" t="inlineStr">
        <is>
          <t>90k</t>
        </is>
      </c>
      <c r="C34" s="16" t="s">
        <v>12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>
        <f>COUNTA(D34:AH34)</f>
      </c>
      <c r="AJ34">
        <f>(COUNTIF(D34:AH34,"T-*")*90)+(COUNTIF(D34:AH34,"TK-*")*100)+((COUNTA(D34:AH34)-COUNTIF(D34:AH34,"T-*")-COUNTIF(D34:AH34,"TK-*"))*90)</f>
      </c>
    </row>
    <row r="35" spans="2:34" ht="9.75" customHeight="1" x14ac:dyDescent="0.2">
      <c r="B35" t="inlineStr">
        <is>
          <t>TỔNG SÂN 2</t>
        </is>
      </c>
      <c r="C35" t="inlineStr">
        <is>
          <t>Số ca/ngày</t>
        </is>
      </c>
      <c r="D35">
        <f>COUNTA(D22:D34)</f>
      </c>
      <c r="E35">
        <f>COUNTA(E22:E34)</f>
      </c>
      <c r="F35">
        <f>COUNTA(F22:F34)</f>
      </c>
      <c r="G35">
        <f>COUNTA(G22:G34)</f>
      </c>
      <c r="H35">
        <f>COUNTA(H22:H34)</f>
      </c>
      <c r="I35">
        <f>COUNTA(I22:I34)</f>
      </c>
      <c r="J35">
        <f>COUNTA(J22:J34)</f>
      </c>
      <c r="K35">
        <f>COUNTA(K22:K34)</f>
      </c>
      <c r="L35">
        <f>COUNTA(L22:L34)</f>
      </c>
      <c r="M35">
        <f>COUNTA(M22:M34)</f>
      </c>
      <c r="N35">
        <f>COUNTA(N22:N34)</f>
      </c>
      <c r="O35">
        <f>COUNTA(O22:O34)</f>
      </c>
      <c r="P35">
        <f>COUNTA(P22:P34)</f>
      </c>
      <c r="Q35">
        <f>COUNTA(Q22:Q34)</f>
      </c>
      <c r="R35">
        <f>COUNTA(R22:R34)</f>
      </c>
      <c r="S35">
        <f>COUNTA(S22:S34)</f>
      </c>
      <c r="T35">
        <f>COUNTA(T22:T34)</f>
      </c>
      <c r="U35">
        <f>COUNTA(U22:U34)</f>
      </c>
      <c r="V35">
        <f>COUNTA(V22:V34)</f>
      </c>
      <c r="W35">
        <f>COUNTA(W22:W34)</f>
      </c>
      <c r="X35">
        <f>COUNTA(X22:X34)</f>
      </c>
      <c r="Y35">
        <f>COUNTA(Y22:Y34)</f>
      </c>
      <c r="Z35">
        <f>COUNTA(Z22:Z34)</f>
      </c>
      <c r="AA35">
        <f>COUNTA(AA22:AA34)</f>
      </c>
      <c r="AB35">
        <f>COUNTA(AB22:AB34)</f>
      </c>
      <c r="AC35">
        <f>COUNTA(AC22:AC34)</f>
      </c>
      <c r="AD35">
        <f>COUNTA(AD22:AD34)</f>
      </c>
      <c r="AE35">
        <f>COUNTA(AE22:AE34)</f>
      </c>
      <c r="AF35">
        <f>COUNTA(AF22:AF34)</f>
      </c>
      <c r="AG35">
        <f>COUNTA(AG22:AG34)</f>
      </c>
      <c r="AH35">
        <f>COUNTA(AH22:AH34)</f>
      </c>
      <c r="AI35">
        <f>SUM(AI22:AI34)</f>
      </c>
      <c r="AJ35">
        <f>SUM(AJ22:AJ34)</f>
      </c>
    </row>
    <row r="36" spans="2:34" ht="14.1" customHeight="1" x14ac:dyDescent="0.25">
      <c r="B36" s="31" t="s">
        <v>24</v>
      </c>
      <c r="C36" s="31"/>
      <c r="D36" s="22" t="s">
        <v>25</v>
      </c>
      <c r="E36" s="22"/>
      <c r="F36" s="22"/>
      <c r="G36" s="22"/>
      <c r="H36" s="22"/>
      <c r="I36" s="22"/>
      <c r="J36" s="22"/>
      <c r="K36" s="22"/>
      <c r="L36" s="22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 spans="2:34" ht="14.1" customHeight="1" x14ac:dyDescent="0.25">
      <c r="B37" s="23"/>
      <c r="C37" s="22"/>
      <c r="D37" s="22" t="s">
        <v>26</v>
      </c>
      <c r="E37" s="22"/>
      <c r="F37" s="22"/>
      <c r="G37" s="22"/>
      <c r="H37" s="22"/>
      <c r="I37" s="22"/>
      <c r="J37" s="22"/>
      <c r="K37" s="22"/>
      <c r="L37" s="22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  <row r="38">
      <c r="B38" t="inlineStr">
        <is>
          <t>TỔNG 2 SÂN</t>
        </is>
      </c>
      <c r="C38" t="inlineStr">
        <is>
          <t>Cả tháng (Nghìn đ)</t>
        </is>
      </c>
      <c r="D38" t="inlineStr">
        <is>
          <t>Mẹo nhập tự động tính tiền: Ghi Tên khách (VD: A.Tuấn) = Giá thường | Ghi T-Tên (VD: T-Hùng) = Thầy dạy TX (50k/90k) | Ghi TK-Tên = Thầy KTX (70k/100k)</t>
        </is>
      </c>
      <c r="AI38">
        <f>AI18+AI35</f>
      </c>
      <c r="AJ38">
        <f>AJ18+AJ35</f>
      </c>
    </row>
  </sheetData>
  <mergeCells count="5">
    <mergeCell ref="B36:C36"/>
    <mergeCell ref="B20:B21"/>
    <mergeCell ref="C2:AH2"/>
    <mergeCell ref="C19:AH19"/>
    <mergeCell ref="B3:B4"/>
  </mergeCells>
  <pageMargins left="0.17" right="0.17" top="0.17" bottom="0.17" header="0.17" footer="0.17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.75" x14ac:dyDescent="0.3"/>
  <sheetData>
    <row r="1">
      <c r="B1" t="inlineStr">
        <is>
          <t>BẢNG TỔNG HỢP DOANH THU 2 SÂN PICKLEBALL (THÁNG 10 - 11 - 12/2026)</t>
        </is>
      </c>
    </row>
    <row r="3">
      <c r="B3" t="inlineStr">
        <is>
          <t>Tháng</t>
        </is>
      </c>
      <c r="C3" t="inlineStr">
        <is>
          <t>Số ca Sân 1</t>
        </is>
      </c>
      <c r="D3" t="inlineStr">
        <is>
          <t>Tiền Sân 1 (Nghìn đ)</t>
        </is>
      </c>
      <c r="E3" t="inlineStr">
        <is>
          <t>Số ca Sân 2</t>
        </is>
      </c>
      <c r="F3" t="inlineStr">
        <is>
          <t>Tiền Sân 2 (Nghìn đ)</t>
        </is>
      </c>
      <c r="G3" t="inlineStr">
        <is>
          <t>Tổng Số Ca</t>
        </is>
      </c>
      <c r="H3" t="inlineStr">
        <is>
          <t>Tổng Doanh Thu (Nghìn đ)</t>
        </is>
      </c>
    </row>
    <row r="4">
      <c r="B4" t="inlineStr">
        <is>
          <t>Tháng 10/2026</t>
        </is>
      </c>
      <c r="C4">
        <f>t10!AI18</f>
      </c>
      <c r="D4">
        <f>t10!AJ18</f>
      </c>
      <c r="E4">
        <f>t10!AI35</f>
      </c>
      <c r="F4">
        <f>t10!AJ35</f>
      </c>
      <c r="G4">
        <f>C4+E4</f>
      </c>
      <c r="H4">
        <f>D4+F4</f>
      </c>
    </row>
    <row r="5">
      <c r="B5" t="inlineStr">
        <is>
          <t>Tháng 11/2026</t>
        </is>
      </c>
      <c r="C5">
        <f>T11!AI18</f>
      </c>
      <c r="D5">
        <f>T11!AJ18</f>
      </c>
      <c r="E5">
        <f>T11!AI35</f>
      </c>
      <c r="F5">
        <f>T11!AJ35</f>
      </c>
      <c r="G5">
        <f>C5+E5</f>
      </c>
      <c r="H5">
        <f>D5+F5</f>
      </c>
    </row>
    <row r="6">
      <c r="B6" t="inlineStr">
        <is>
          <t>Tháng 12/2026</t>
        </is>
      </c>
      <c r="C6">
        <f>T12!AI18</f>
      </c>
      <c r="D6">
        <f>T12!AJ18</f>
      </c>
      <c r="E6">
        <f>T12!AI35</f>
      </c>
      <c r="F6">
        <f>T12!AJ35</f>
      </c>
      <c r="G6">
        <f>C6+E6</f>
      </c>
      <c r="H6">
        <f>D6+F6</f>
      </c>
    </row>
    <row r="7">
      <c r="B7" t="inlineStr">
        <is>
          <t>TỔNG QUÝ 4/2026</t>
        </is>
      </c>
      <c r="C7">
        <f>SUM(C4:C6)</f>
      </c>
      <c r="D7">
        <f>SUM(D4:D6)</f>
      </c>
      <c r="E7">
        <f>SUM(E4:E6)</f>
      </c>
      <c r="F7">
        <f>SUM(F4:F6)</f>
      </c>
      <c r="G7">
        <f>SUM(G4:G6)</f>
      </c>
      <c r="H7">
        <f>SUM(H4:H6)</f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T12</vt:lpstr>
      <vt:lpstr>T11</vt:lpstr>
      <vt:lpstr>t10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2026-10-25T13:33:44Z</cp:lastPrinted>
  <dcterms:created xsi:type="dcterms:W3CDTF">2026-10-18T12:56:24Z</dcterms:created>
  <dcterms:modified xsi:type="dcterms:W3CDTF">2026-10-25T13:34:23Z</dcterms:modified>
</cp:coreProperties>
</file>